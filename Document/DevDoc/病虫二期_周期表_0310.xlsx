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1.WORKS\BingChong2_Workshop\Document\DevDoc\"/>
    </mc:Choice>
  </mc:AlternateContent>
  <workbookProtection workbookAlgorithmName="SHA-512" workbookHashValue="bikUsIRLcZ27UcG5dLzr7yQqbX+VWtmPlOxE3KWmZ6p33EYaKHdO3pI0cMSYNEL5uZw+/lAcW8OpCoSNK5i2qA==" workbookSaltValue="XnNnpHgLlDSO8v2U4s4Rdw==" workbookSpinCount="100000" lockStructure="1"/>
  <bookViews>
    <workbookView xWindow="0" yWindow="60" windowWidth="19440" windowHeight="8310" activeTab="1"/>
  </bookViews>
  <sheets>
    <sheet name="项目" sheetId="1" r:id="rId1"/>
    <sheet name="周期表" sheetId="2" r:id="rId2"/>
    <sheet name="预算" sheetId="3" r:id="rId3"/>
    <sheet name="风险登记" sheetId="4" r:id="rId4"/>
    <sheet name="问题日志" sheetId="5" r:id="rId5"/>
    <sheet name="©" sheetId="6" state="veryHidden" r:id="rId6"/>
  </sheets>
  <externalReferences>
    <externalReference r:id="rId7"/>
  </externalReferences>
  <definedNames>
    <definedName name="helpRow">周期表!#REF!</definedName>
    <definedName name="_xlnm.Print_Area" localSheetId="1">周期表!$A$3:$IO$118</definedName>
    <definedName name="valuevx">42.314159</definedName>
  </definedNames>
  <calcPr calcId="152511"/>
</workbook>
</file>

<file path=xl/calcChain.xml><?xml version="1.0" encoding="utf-8"?>
<calcChain xmlns="http://schemas.openxmlformats.org/spreadsheetml/2006/main">
  <c r="G12" i="2" l="1"/>
  <c r="G17" i="2"/>
  <c r="G79" i="2" l="1"/>
  <c r="G73" i="2"/>
  <c r="G64" i="2"/>
  <c r="G54" i="2"/>
  <c r="G44" i="2"/>
  <c r="G33" i="2"/>
  <c r="G23" i="2"/>
  <c r="G113" i="2"/>
  <c r="G53" i="2" l="1"/>
  <c r="I111" i="2"/>
  <c r="J111" i="2" s="1"/>
  <c r="E111" i="2"/>
  <c r="H111" i="2" s="1"/>
  <c r="I110" i="2"/>
  <c r="J110" i="2" s="1"/>
  <c r="E110" i="2"/>
  <c r="H110" i="2" s="1"/>
  <c r="I109" i="2"/>
  <c r="J109" i="2" s="1"/>
  <c r="E109" i="2"/>
  <c r="H109" i="2" s="1"/>
  <c r="I108" i="2"/>
  <c r="J108" i="2" s="1"/>
  <c r="E108" i="2"/>
  <c r="H108" i="2" s="1"/>
  <c r="I107" i="2"/>
  <c r="J107" i="2" s="1"/>
  <c r="H107" i="2"/>
  <c r="E107" i="2"/>
  <c r="I106" i="2"/>
  <c r="J106" i="2" s="1"/>
  <c r="E106" i="2"/>
  <c r="H106" i="2" s="1"/>
  <c r="I105" i="2"/>
  <c r="J105" i="2" s="1"/>
  <c r="E105" i="2"/>
  <c r="H105" i="2" s="1"/>
  <c r="I104" i="2"/>
  <c r="J104" i="2" s="1"/>
  <c r="E104" i="2"/>
  <c r="H104" i="2" s="1"/>
  <c r="I103" i="2"/>
  <c r="J103" i="2" s="1"/>
  <c r="E103" i="2"/>
  <c r="H103" i="2" s="1"/>
  <c r="I102" i="2"/>
  <c r="J102" i="2" s="1"/>
  <c r="E102" i="2"/>
  <c r="H102" i="2" s="1"/>
  <c r="I101" i="2"/>
  <c r="J101" i="2" s="1"/>
  <c r="E101" i="2"/>
  <c r="H101" i="2" s="1"/>
  <c r="I100" i="2"/>
  <c r="J100" i="2" s="1"/>
  <c r="E100" i="2"/>
  <c r="H100" i="2" s="1"/>
  <c r="I99" i="2"/>
  <c r="J99" i="2" s="1"/>
  <c r="E99" i="2"/>
  <c r="H99" i="2" s="1"/>
  <c r="I98" i="2"/>
  <c r="J98" i="2" s="1"/>
  <c r="E98" i="2"/>
  <c r="H98" i="2" s="1"/>
  <c r="I97" i="2"/>
  <c r="J97" i="2" s="1"/>
  <c r="E97" i="2"/>
  <c r="H97" i="2" s="1"/>
  <c r="I96" i="2"/>
  <c r="J96" i="2" s="1"/>
  <c r="E96" i="2"/>
  <c r="H96" i="2" s="1"/>
  <c r="I95" i="2"/>
  <c r="J95" i="2" s="1"/>
  <c r="E95" i="2"/>
  <c r="H95" i="2" s="1"/>
  <c r="I94" i="2"/>
  <c r="J94" i="2" s="1"/>
  <c r="E94" i="2"/>
  <c r="H94" i="2" s="1"/>
  <c r="I93" i="2"/>
  <c r="J93" i="2" s="1"/>
  <c r="E93" i="2"/>
  <c r="H93" i="2" s="1"/>
  <c r="I92" i="2"/>
  <c r="J92" i="2" s="1"/>
  <c r="E92" i="2"/>
  <c r="H92" i="2" s="1"/>
  <c r="I91" i="2"/>
  <c r="J91" i="2" s="1"/>
  <c r="E91" i="2"/>
  <c r="H91" i="2" s="1"/>
  <c r="I90" i="2"/>
  <c r="J90" i="2" s="1"/>
  <c r="E90" i="2"/>
  <c r="H90" i="2" s="1"/>
  <c r="I89" i="2"/>
  <c r="J89" i="2" s="1"/>
  <c r="E89" i="2"/>
  <c r="H89" i="2" s="1"/>
  <c r="I88" i="2"/>
  <c r="J88" i="2" s="1"/>
  <c r="E88" i="2"/>
  <c r="H88" i="2" s="1"/>
  <c r="I87" i="2"/>
  <c r="J87" i="2" s="1"/>
  <c r="E87" i="2"/>
  <c r="H87" i="2" s="1"/>
  <c r="I86" i="2"/>
  <c r="J86" i="2" s="1"/>
  <c r="E86" i="2"/>
  <c r="H86" i="2" s="1"/>
  <c r="I85" i="2"/>
  <c r="J85" i="2" s="1"/>
  <c r="E85" i="2"/>
  <c r="H85" i="2" s="1"/>
  <c r="I84" i="2"/>
  <c r="J84" i="2" s="1"/>
  <c r="E84" i="2"/>
  <c r="H84" i="2" s="1"/>
  <c r="I77" i="2"/>
  <c r="J77" i="2" s="1"/>
  <c r="E77" i="2"/>
  <c r="H77" i="2" s="1"/>
  <c r="I76" i="2"/>
  <c r="J76" i="2" s="1"/>
  <c r="E76" i="2"/>
  <c r="H76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F33" i="2"/>
  <c r="F29" i="2"/>
  <c r="F23" i="2"/>
  <c r="F17" i="2"/>
  <c r="F12" i="2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E45" i="2"/>
  <c r="I44" i="2"/>
  <c r="J44" i="2" s="1"/>
  <c r="E44" i="2"/>
  <c r="H44" i="2" s="1"/>
  <c r="I43" i="2"/>
  <c r="J43" i="2" s="1"/>
  <c r="E43" i="2"/>
  <c r="H43" i="2" s="1"/>
  <c r="I42" i="2"/>
  <c r="J42" i="2" s="1"/>
  <c r="E42" i="2"/>
  <c r="H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E34" i="2"/>
  <c r="H34" i="2" s="1"/>
  <c r="H45" i="2" l="1"/>
  <c r="D35" i="2"/>
  <c r="E35" i="2" s="1"/>
  <c r="I32" i="2"/>
  <c r="J32" i="2" s="1"/>
  <c r="I31" i="2"/>
  <c r="J31" i="2" s="1"/>
  <c r="I30" i="2"/>
  <c r="J30" i="2" s="1"/>
  <c r="E30" i="2"/>
  <c r="I28" i="2"/>
  <c r="J28" i="2" s="1"/>
  <c r="I27" i="2"/>
  <c r="J27" i="2" s="1"/>
  <c r="I26" i="2"/>
  <c r="J26" i="2" s="1"/>
  <c r="I25" i="2"/>
  <c r="J25" i="2" s="1"/>
  <c r="I24" i="2"/>
  <c r="J24" i="2" s="1"/>
  <c r="E24" i="2"/>
  <c r="A24" i="2"/>
  <c r="H24" i="2" l="1"/>
  <c r="D25" i="2"/>
  <c r="E25" i="2" s="1"/>
  <c r="H30" i="2"/>
  <c r="D31" i="2"/>
  <c r="E31" i="2" s="1"/>
  <c r="D32" i="2" s="1"/>
  <c r="E32" i="2" s="1"/>
  <c r="H32" i="2" s="1"/>
  <c r="H35" i="2"/>
  <c r="D36" i="2"/>
  <c r="E36" i="2" s="1"/>
  <c r="A25" i="2"/>
  <c r="H25" i="2" l="1"/>
  <c r="D26" i="2"/>
  <c r="H31" i="2"/>
  <c r="E46" i="2"/>
  <c r="H36" i="2"/>
  <c r="D37" i="2"/>
  <c r="A26" i="2"/>
  <c r="D79" i="2"/>
  <c r="E79" i="2" s="1"/>
  <c r="H79" i="2" s="1"/>
  <c r="I83" i="2"/>
  <c r="J83" i="2" s="1"/>
  <c r="E83" i="2"/>
  <c r="H83" i="2" s="1"/>
  <c r="I82" i="2"/>
  <c r="J82" i="2" s="1"/>
  <c r="E82" i="2"/>
  <c r="H82" i="2" s="1"/>
  <c r="I81" i="2"/>
  <c r="J81" i="2" s="1"/>
  <c r="E81" i="2"/>
  <c r="H81" i="2" s="1"/>
  <c r="I80" i="2"/>
  <c r="J80" i="2" s="1"/>
  <c r="E80" i="2"/>
  <c r="H80" i="2" s="1"/>
  <c r="I75" i="2"/>
  <c r="J75" i="2" s="1"/>
  <c r="E75" i="2"/>
  <c r="H75" i="2" s="1"/>
  <c r="I74" i="2"/>
  <c r="J74" i="2" s="1"/>
  <c r="E74" i="2"/>
  <c r="H74" i="2" s="1"/>
  <c r="I72" i="2"/>
  <c r="J72" i="2" s="1"/>
  <c r="E72" i="2"/>
  <c r="H72" i="2" s="1"/>
  <c r="I71" i="2"/>
  <c r="J71" i="2" s="1"/>
  <c r="E71" i="2"/>
  <c r="H71" i="2" s="1"/>
  <c r="I70" i="2"/>
  <c r="J70" i="2" s="1"/>
  <c r="E70" i="2"/>
  <c r="H70" i="2" s="1"/>
  <c r="I69" i="2"/>
  <c r="J69" i="2" s="1"/>
  <c r="E69" i="2"/>
  <c r="H69" i="2" s="1"/>
  <c r="I68" i="2"/>
  <c r="J68" i="2" s="1"/>
  <c r="E68" i="2"/>
  <c r="H68" i="2" s="1"/>
  <c r="I67" i="2"/>
  <c r="J67" i="2" s="1"/>
  <c r="E67" i="2"/>
  <c r="H67" i="2" s="1"/>
  <c r="I66" i="2"/>
  <c r="J66" i="2" s="1"/>
  <c r="E66" i="2"/>
  <c r="H66" i="2" s="1"/>
  <c r="I65" i="2"/>
  <c r="J65" i="2" s="1"/>
  <c r="E65" i="2"/>
  <c r="H65" i="2" s="1"/>
  <c r="I56" i="2"/>
  <c r="J56" i="2" s="1"/>
  <c r="I55" i="2"/>
  <c r="J55" i="2" s="1"/>
  <c r="E55" i="2"/>
  <c r="I79" i="2"/>
  <c r="J79" i="2" s="1"/>
  <c r="H55" i="2" l="1"/>
  <c r="D56" i="2"/>
  <c r="E56" i="2" s="1"/>
  <c r="E26" i="2"/>
  <c r="D27" i="2" s="1"/>
  <c r="E27" i="2" s="1"/>
  <c r="D28" i="2" s="1"/>
  <c r="E28" i="2" s="1"/>
  <c r="H28" i="2" s="1"/>
  <c r="H26" i="2"/>
  <c r="H46" i="2"/>
  <c r="E37" i="2"/>
  <c r="D38" i="2" s="1"/>
  <c r="A27" i="2"/>
  <c r="H56" i="2" l="1"/>
  <c r="D57" i="2"/>
  <c r="E57" i="2" s="1"/>
  <c r="H27" i="2"/>
  <c r="E47" i="2"/>
  <c r="E38" i="2"/>
  <c r="D39" i="2" s="1"/>
  <c r="H37" i="2"/>
  <c r="A28" i="2"/>
  <c r="A29" i="2" s="1"/>
  <c r="A30" i="2" s="1"/>
  <c r="A31" i="2" s="1"/>
  <c r="A32" i="2" s="1"/>
  <c r="F4" i="5"/>
  <c r="C4" i="5"/>
  <c r="F3" i="5"/>
  <c r="C3" i="5"/>
  <c r="F2" i="5"/>
  <c r="C2" i="5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K4" i="4"/>
  <c r="D4" i="4"/>
  <c r="K3" i="4"/>
  <c r="D3" i="4"/>
  <c r="K2" i="4"/>
  <c r="D2" i="4"/>
  <c r="I117" i="2"/>
  <c r="J117" i="2" s="1"/>
  <c r="E117" i="2"/>
  <c r="H117" i="2" s="1"/>
  <c r="I116" i="2"/>
  <c r="J116" i="2" s="1"/>
  <c r="E116" i="2"/>
  <c r="H116" i="2" s="1"/>
  <c r="I115" i="2"/>
  <c r="J115" i="2" s="1"/>
  <c r="E115" i="2"/>
  <c r="H115" i="2" s="1"/>
  <c r="I114" i="2"/>
  <c r="J114" i="2" s="1"/>
  <c r="E114" i="2"/>
  <c r="H114" i="2" s="1"/>
  <c r="D113" i="2"/>
  <c r="I73" i="2"/>
  <c r="J73" i="2" s="1"/>
  <c r="E73" i="2"/>
  <c r="H73" i="2" s="1"/>
  <c r="I64" i="2"/>
  <c r="J64" i="2" s="1"/>
  <c r="E64" i="2"/>
  <c r="H64" i="2" s="1"/>
  <c r="I54" i="2"/>
  <c r="J54" i="2" s="1"/>
  <c r="E54" i="2"/>
  <c r="H54" i="2" s="1"/>
  <c r="I53" i="2"/>
  <c r="J53" i="2" s="1"/>
  <c r="I33" i="2"/>
  <c r="J33" i="2" s="1"/>
  <c r="E33" i="2"/>
  <c r="H33" i="2" s="1"/>
  <c r="I29" i="2"/>
  <c r="J29" i="2" s="1"/>
  <c r="E29" i="2"/>
  <c r="H29" i="2" s="1"/>
  <c r="I23" i="2"/>
  <c r="J23" i="2" s="1"/>
  <c r="E23" i="2"/>
  <c r="H23" i="2" s="1"/>
  <c r="I22" i="2"/>
  <c r="J22" i="2" s="1"/>
  <c r="I21" i="2"/>
  <c r="J21" i="2" s="1"/>
  <c r="I20" i="2"/>
  <c r="J20" i="2" s="1"/>
  <c r="I19" i="2"/>
  <c r="J19" i="2" s="1"/>
  <c r="I18" i="2"/>
  <c r="J18" i="2" s="1"/>
  <c r="E18" i="2"/>
  <c r="E17" i="2"/>
  <c r="H17" i="2" s="1"/>
  <c r="I16" i="2"/>
  <c r="J16" i="2" s="1"/>
  <c r="I15" i="2"/>
  <c r="J15" i="2" s="1"/>
  <c r="A15" i="2"/>
  <c r="A16" i="2" s="1"/>
  <c r="A18" i="2" s="1"/>
  <c r="A19" i="2" s="1"/>
  <c r="A20" i="2" s="1"/>
  <c r="A21" i="2" s="1"/>
  <c r="A22" i="2" s="1"/>
  <c r="I14" i="2"/>
  <c r="J14" i="2" s="1"/>
  <c r="I13" i="2"/>
  <c r="J13" i="2" s="1"/>
  <c r="E13" i="2"/>
  <c r="E12" i="2"/>
  <c r="H12" i="2" s="1"/>
  <c r="A11" i="2"/>
  <c r="A12" i="2" s="1"/>
  <c r="A13" i="2" s="1"/>
  <c r="L9" i="2"/>
  <c r="M9" i="2" s="1"/>
  <c r="N9" i="2" s="1"/>
  <c r="O9" i="2" s="1"/>
  <c r="P9" i="2" s="1"/>
  <c r="Q9" i="2" s="1"/>
  <c r="R9" i="2" s="1"/>
  <c r="S9" i="2" s="1"/>
  <c r="E8" i="2"/>
  <c r="E7" i="2"/>
  <c r="K4" i="2"/>
  <c r="B3" i="2"/>
  <c r="H57" i="2" l="1"/>
  <c r="D58" i="2"/>
  <c r="H47" i="2"/>
  <c r="H13" i="2"/>
  <c r="D14" i="2"/>
  <c r="E14" i="2" s="1"/>
  <c r="H18" i="2"/>
  <c r="D19" i="2"/>
  <c r="E19" i="2" s="1"/>
  <c r="D20" i="2" s="1"/>
  <c r="E39" i="2"/>
  <c r="D40" i="2" s="1"/>
  <c r="H38" i="2"/>
  <c r="A33" i="2"/>
  <c r="I113" i="2"/>
  <c r="J113" i="2" s="1"/>
  <c r="T9" i="2"/>
  <c r="U9" i="2" s="1"/>
  <c r="V9" i="2" s="1"/>
  <c r="W9" i="2" s="1"/>
  <c r="X9" i="2" s="1"/>
  <c r="Y9" i="2" s="1"/>
  <c r="Z9" i="2" s="1"/>
  <c r="S10" i="2"/>
  <c r="E113" i="2"/>
  <c r="H113" i="2" s="1"/>
  <c r="L10" i="2"/>
  <c r="E58" i="2" l="1"/>
  <c r="D59" i="2" s="1"/>
  <c r="E20" i="2"/>
  <c r="D21" i="2" s="1"/>
  <c r="E21" i="2" s="1"/>
  <c r="D22" i="2" s="1"/>
  <c r="E22" i="2" s="1"/>
  <c r="H22" i="2" s="1"/>
  <c r="H14" i="2"/>
  <c r="D15" i="2"/>
  <c r="H19" i="2"/>
  <c r="E48" i="2"/>
  <c r="E40" i="2"/>
  <c r="D41" i="2" s="1"/>
  <c r="E41" i="2" s="1"/>
  <c r="H41" i="2" s="1"/>
  <c r="H39" i="2"/>
  <c r="A34" i="2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Z10" i="2"/>
  <c r="AA9" i="2"/>
  <c r="AB9" i="2" s="1"/>
  <c r="AC9" i="2" s="1"/>
  <c r="AD9" i="2" s="1"/>
  <c r="AE9" i="2" s="1"/>
  <c r="AF9" i="2" s="1"/>
  <c r="AG9" i="2" s="1"/>
  <c r="H58" i="2" l="1"/>
  <c r="E59" i="2"/>
  <c r="D60" i="2" s="1"/>
  <c r="H59" i="2"/>
  <c r="H20" i="2"/>
  <c r="H21" i="2"/>
  <c r="H48" i="2"/>
  <c r="E15" i="2"/>
  <c r="D16" i="2" s="1"/>
  <c r="H40" i="2"/>
  <c r="A51" i="2"/>
  <c r="A54" i="2" s="1"/>
  <c r="A55" i="2" s="1"/>
  <c r="A56" i="2" s="1"/>
  <c r="AG10" i="2"/>
  <c r="AH9" i="2"/>
  <c r="AI9" i="2" s="1"/>
  <c r="AJ9" i="2" s="1"/>
  <c r="AK9" i="2" s="1"/>
  <c r="AL9" i="2" s="1"/>
  <c r="AM9" i="2" s="1"/>
  <c r="AN9" i="2" s="1"/>
  <c r="E60" i="2" l="1"/>
  <c r="D61" i="2" s="1"/>
  <c r="H15" i="2"/>
  <c r="A57" i="2"/>
  <c r="A58" i="2" s="1"/>
  <c r="E16" i="2"/>
  <c r="H16" i="2" s="1"/>
  <c r="D11" i="2"/>
  <c r="E11" i="2" s="1"/>
  <c r="H11" i="2" s="1"/>
  <c r="AN10" i="2"/>
  <c r="AO9" i="2"/>
  <c r="AP9" i="2" s="1"/>
  <c r="AQ9" i="2" s="1"/>
  <c r="AR9" i="2" s="1"/>
  <c r="AS9" i="2" s="1"/>
  <c r="AT9" i="2" s="1"/>
  <c r="AU9" i="2" s="1"/>
  <c r="H60" i="2" l="1"/>
  <c r="E61" i="2"/>
  <c r="D62" i="2" s="1"/>
  <c r="H61" i="2"/>
  <c r="A59" i="2"/>
  <c r="E49" i="2"/>
  <c r="AV9" i="2"/>
  <c r="AW9" i="2" s="1"/>
  <c r="AX9" i="2" s="1"/>
  <c r="AY9" i="2" s="1"/>
  <c r="AZ9" i="2" s="1"/>
  <c r="BA9" i="2" s="1"/>
  <c r="BB9" i="2" s="1"/>
  <c r="AU10" i="2"/>
  <c r="E62" i="2" l="1"/>
  <c r="D63" i="2" s="1"/>
  <c r="E63" i="2" s="1"/>
  <c r="H63" i="2" s="1"/>
  <c r="A60" i="2"/>
  <c r="A61" i="2" s="1"/>
  <c r="A62" i="2" s="1"/>
  <c r="H49" i="2"/>
  <c r="BB10" i="2"/>
  <c r="BC9" i="2"/>
  <c r="BD9" i="2" s="1"/>
  <c r="BE9" i="2" s="1"/>
  <c r="BF9" i="2" s="1"/>
  <c r="BG9" i="2" s="1"/>
  <c r="BH9" i="2" s="1"/>
  <c r="BI9" i="2" s="1"/>
  <c r="D53" i="2" l="1"/>
  <c r="E53" i="2" s="1"/>
  <c r="H53" i="2" s="1"/>
  <c r="H62" i="2"/>
  <c r="A63" i="2"/>
  <c r="A64" i="2" s="1"/>
  <c r="A65" i="2" s="1"/>
  <c r="A66" i="2" s="1"/>
  <c r="A67" i="2" s="1"/>
  <c r="A68" i="2" s="1"/>
  <c r="A69" i="2" s="1"/>
  <c r="A70" i="2" s="1"/>
  <c r="A71" i="2" s="1"/>
  <c r="A72" i="2" s="1"/>
  <c r="E50" i="2"/>
  <c r="BJ9" i="2"/>
  <c r="BK9" i="2" s="1"/>
  <c r="BL9" i="2" s="1"/>
  <c r="BM9" i="2" s="1"/>
  <c r="BN9" i="2" s="1"/>
  <c r="BO9" i="2" s="1"/>
  <c r="BP9" i="2" s="1"/>
  <c r="BI10" i="2"/>
  <c r="E51" i="2" l="1"/>
  <c r="H51" i="2" s="1"/>
  <c r="H50" i="2"/>
  <c r="A73" i="2"/>
  <c r="BQ9" i="2"/>
  <c r="BR9" i="2" s="1"/>
  <c r="BS9" i="2" s="1"/>
  <c r="BT9" i="2" s="1"/>
  <c r="BU9" i="2" s="1"/>
  <c r="BV9" i="2" s="1"/>
  <c r="BW9" i="2" s="1"/>
  <c r="BP10" i="2"/>
  <c r="A74" i="2" l="1"/>
  <c r="A75" i="2" s="1"/>
  <c r="A76" i="2" s="1"/>
  <c r="A77" i="2" s="1"/>
  <c r="BX9" i="2"/>
  <c r="BY9" i="2" s="1"/>
  <c r="BZ9" i="2" s="1"/>
  <c r="CA9" i="2" s="1"/>
  <c r="CB9" i="2" s="1"/>
  <c r="CC9" i="2" s="1"/>
  <c r="CD9" i="2" s="1"/>
  <c r="BW10" i="2"/>
  <c r="CD10" i="2" l="1"/>
  <c r="CE9" i="2"/>
  <c r="CF9" i="2" s="1"/>
  <c r="CG9" i="2" s="1"/>
  <c r="CH9" i="2" s="1"/>
  <c r="CI9" i="2" s="1"/>
  <c r="CJ9" i="2" s="1"/>
  <c r="CK9" i="2" s="1"/>
  <c r="CK10" i="2" l="1"/>
  <c r="CL9" i="2"/>
  <c r="CM9" i="2" s="1"/>
  <c r="CN9" i="2" s="1"/>
  <c r="CO9" i="2" s="1"/>
  <c r="CP9" i="2" s="1"/>
  <c r="CQ9" i="2" s="1"/>
  <c r="CR9" i="2" s="1"/>
  <c r="CR10" i="2" l="1"/>
  <c r="CS9" i="2"/>
  <c r="CT9" i="2" s="1"/>
  <c r="CU9" i="2" s="1"/>
  <c r="CV9" i="2" s="1"/>
  <c r="CW9" i="2" s="1"/>
  <c r="CX9" i="2" s="1"/>
  <c r="CY9" i="2" s="1"/>
  <c r="CZ9" i="2" l="1"/>
  <c r="DA9" i="2" s="1"/>
  <c r="DB9" i="2" s="1"/>
  <c r="DC9" i="2" s="1"/>
  <c r="DD9" i="2" s="1"/>
  <c r="DE9" i="2" s="1"/>
  <c r="DF9" i="2" s="1"/>
  <c r="CY10" i="2"/>
  <c r="DF10" i="2" l="1"/>
  <c r="DG9" i="2"/>
  <c r="DH9" i="2" s="1"/>
  <c r="DI9" i="2" s="1"/>
  <c r="DJ9" i="2" s="1"/>
  <c r="DK9" i="2" s="1"/>
  <c r="DL9" i="2" s="1"/>
  <c r="DM9" i="2" s="1"/>
  <c r="DN9" i="2" l="1"/>
  <c r="DO9" i="2" s="1"/>
  <c r="DP9" i="2" s="1"/>
  <c r="DQ9" i="2" s="1"/>
  <c r="DR9" i="2" s="1"/>
  <c r="DS9" i="2" s="1"/>
  <c r="DT9" i="2" s="1"/>
  <c r="DM10" i="2"/>
  <c r="A80" i="2" l="1"/>
  <c r="DU9" i="2"/>
  <c r="DV9" i="2" s="1"/>
  <c r="DW9" i="2" s="1"/>
  <c r="DX9" i="2" s="1"/>
  <c r="DY9" i="2" s="1"/>
  <c r="DZ9" i="2" s="1"/>
  <c r="EA9" i="2" s="1"/>
  <c r="DT10" i="2"/>
  <c r="EB9" i="2" l="1"/>
  <c r="EC9" i="2" s="1"/>
  <c r="ED9" i="2" s="1"/>
  <c r="EE9" i="2" s="1"/>
  <c r="EF9" i="2" s="1"/>
  <c r="EG9" i="2" s="1"/>
  <c r="EH9" i="2" s="1"/>
  <c r="EA10" i="2"/>
  <c r="A81" i="2" l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EH10" i="2"/>
  <c r="EI9" i="2"/>
  <c r="EJ9" i="2" s="1"/>
  <c r="EK9" i="2" s="1"/>
  <c r="EL9" i="2" s="1"/>
  <c r="EM9" i="2" s="1"/>
  <c r="EN9" i="2" s="1"/>
  <c r="EO9" i="2" s="1"/>
  <c r="A114" i="2" l="1"/>
  <c r="A115" i="2" s="1"/>
  <c r="A116" i="2" s="1"/>
  <c r="A117" i="2" s="1"/>
  <c r="EO10" i="2"/>
  <c r="EP9" i="2"/>
  <c r="EQ9" i="2" s="1"/>
  <c r="ER9" i="2" s="1"/>
  <c r="ES9" i="2" s="1"/>
  <c r="ET9" i="2" s="1"/>
  <c r="EU9" i="2" s="1"/>
  <c r="EV9" i="2" s="1"/>
  <c r="EV10" i="2" l="1"/>
  <c r="EW9" i="2"/>
  <c r="EX9" i="2" s="1"/>
  <c r="EY9" i="2" s="1"/>
  <c r="EZ9" i="2" s="1"/>
  <c r="FA9" i="2" s="1"/>
  <c r="FB9" i="2" s="1"/>
  <c r="FC9" i="2" s="1"/>
  <c r="FD9" i="2" l="1"/>
  <c r="FE9" i="2" s="1"/>
  <c r="FF9" i="2" s="1"/>
  <c r="FG9" i="2" s="1"/>
  <c r="FH9" i="2" s="1"/>
  <c r="FI9" i="2" s="1"/>
  <c r="FJ9" i="2" s="1"/>
  <c r="FC10" i="2"/>
  <c r="FJ10" i="2" l="1"/>
  <c r="FK9" i="2"/>
  <c r="FL9" i="2" s="1"/>
  <c r="FM9" i="2" s="1"/>
  <c r="FN9" i="2" s="1"/>
  <c r="FO9" i="2" s="1"/>
  <c r="FP9" i="2" s="1"/>
  <c r="FQ9" i="2" s="1"/>
  <c r="FR9" i="2" l="1"/>
  <c r="FS9" i="2" s="1"/>
  <c r="FT9" i="2" s="1"/>
  <c r="FU9" i="2" s="1"/>
  <c r="FV9" i="2" s="1"/>
  <c r="FW9" i="2" s="1"/>
  <c r="FX9" i="2" s="1"/>
  <c r="FQ10" i="2"/>
  <c r="FY9" i="2" l="1"/>
  <c r="FZ9" i="2" s="1"/>
  <c r="GA9" i="2" s="1"/>
  <c r="GB9" i="2" s="1"/>
  <c r="GC9" i="2" s="1"/>
  <c r="GD9" i="2" s="1"/>
  <c r="GE9" i="2" s="1"/>
  <c r="FX10" i="2"/>
  <c r="GF9" i="2" l="1"/>
  <c r="GG9" i="2" s="1"/>
  <c r="GH9" i="2" s="1"/>
  <c r="GI9" i="2" s="1"/>
  <c r="GJ9" i="2" s="1"/>
  <c r="GK9" i="2" s="1"/>
  <c r="GL9" i="2" s="1"/>
  <c r="GE10" i="2"/>
  <c r="GL10" i="2" l="1"/>
  <c r="GM9" i="2"/>
  <c r="GN9" i="2" s="1"/>
  <c r="GO9" i="2" s="1"/>
  <c r="GP9" i="2" s="1"/>
  <c r="GQ9" i="2" s="1"/>
  <c r="GR9" i="2" s="1"/>
  <c r="GS9" i="2" s="1"/>
  <c r="GS10" i="2" l="1"/>
  <c r="GT9" i="2"/>
  <c r="GU9" i="2" s="1"/>
  <c r="GV9" i="2" s="1"/>
  <c r="GW9" i="2" s="1"/>
  <c r="GX9" i="2" s="1"/>
  <c r="GY9" i="2" s="1"/>
  <c r="GZ9" i="2" s="1"/>
  <c r="GZ10" i="2" l="1"/>
  <c r="HA9" i="2"/>
  <c r="HB9" i="2" s="1"/>
  <c r="HC9" i="2" s="1"/>
  <c r="HD9" i="2" s="1"/>
  <c r="HE9" i="2" s="1"/>
  <c r="HF9" i="2" s="1"/>
  <c r="HG9" i="2" s="1"/>
  <c r="HH9" i="2" l="1"/>
  <c r="HI9" i="2" s="1"/>
  <c r="HJ9" i="2" s="1"/>
  <c r="HK9" i="2" s="1"/>
  <c r="HL9" i="2" s="1"/>
  <c r="HM9" i="2" s="1"/>
  <c r="HN9" i="2" s="1"/>
  <c r="HG10" i="2"/>
  <c r="HN10" i="2" l="1"/>
  <c r="HO9" i="2"/>
  <c r="HP9" i="2" s="1"/>
  <c r="HQ9" i="2" s="1"/>
  <c r="HR9" i="2" s="1"/>
  <c r="HS9" i="2" s="1"/>
  <c r="HT9" i="2" s="1"/>
  <c r="HU9" i="2" s="1"/>
  <c r="HV9" i="2" l="1"/>
  <c r="HW9" i="2" s="1"/>
  <c r="HX9" i="2" s="1"/>
  <c r="HY9" i="2" s="1"/>
  <c r="HZ9" i="2" s="1"/>
  <c r="IA9" i="2" s="1"/>
  <c r="IB9" i="2" s="1"/>
  <c r="HU10" i="2"/>
  <c r="IC9" i="2" l="1"/>
  <c r="ID9" i="2" s="1"/>
  <c r="IE9" i="2" s="1"/>
  <c r="IF9" i="2" s="1"/>
  <c r="IG9" i="2" s="1"/>
  <c r="IH9" i="2" s="1"/>
  <c r="II9" i="2" s="1"/>
  <c r="IB10" i="2"/>
  <c r="IJ9" i="2" l="1"/>
  <c r="IK9" i="2" s="1"/>
  <c r="IL9" i="2" s="1"/>
  <c r="IM9" i="2" s="1"/>
  <c r="IN9" i="2" s="1"/>
  <c r="IO9" i="2" s="1"/>
  <c r="II10" i="2"/>
  <c r="I12" i="2"/>
  <c r="J12" i="2" s="1"/>
  <c r="I17" i="2"/>
  <c r="J17" i="2" s="1"/>
  <c r="G11" i="2"/>
  <c r="I11" i="2" s="1"/>
  <c r="J11" i="2" s="1"/>
</calcChain>
</file>

<file path=xl/comments1.xml><?xml version="1.0" encoding="utf-8"?>
<comments xmlns="http://schemas.openxmlformats.org/spreadsheetml/2006/main">
  <authors>
    <author>Default User</author>
  </authors>
  <commentList>
    <comment ref="C6" authorId="0" shapeId="0">
      <text>
        <r>
          <rPr>
            <sz val="9"/>
            <color indexed="81"/>
            <rFont val="宋体"/>
            <charset val="134"/>
          </rPr>
          <t>Probability:
 4: Highly likely/probable (76%-100%)
 3: Likely (51%-75%)
 2: Somewhat likely (26%-50%)
 1: Unlikely/improbable (0%-25%)</t>
        </r>
      </text>
    </comment>
    <comment ref="D6" authorId="0" shapeId="0">
      <text>
        <r>
          <rPr>
            <sz val="9"/>
            <color indexed="81"/>
            <rFont val="宋体"/>
            <charset val="134"/>
          </rPr>
          <t>Impact:
 4: Critical: Threatens the viability of the business or represents failure of the project
 3: Severe: Threatens the achievement of business vision or severely reduces project benefits
 2: Moderate: May delay achievement of the vision or reduce project benefits
 1: Minimal/minor: No impact on business vision but may increase project costs and timescales</t>
        </r>
      </text>
    </comment>
    <comment ref="E6" authorId="0" shapeId="0">
      <text>
        <r>
          <rPr>
            <sz val="9"/>
            <color indexed="81"/>
            <rFont val="宋体"/>
            <charset val="134"/>
          </rPr>
          <t>Detectability:
 4: Determined after impact has been realized
 3: Realized upon trigger event
 2: Immediately prior to trigger event; can be   mitigated prior to trigger if monitored
 1: Determined well in advance of occurrence or trigger event</t>
        </r>
      </text>
    </comment>
    <comment ref="G6" authorId="0" shapeId="0">
      <text>
        <r>
          <rPr>
            <sz val="9"/>
            <color indexed="81"/>
            <rFont val="宋体"/>
            <charset val="134"/>
          </rPr>
          <t>This is a field you can use to identify risks by categories such as technological, personnel, etc.</t>
        </r>
      </text>
    </comment>
    <comment ref="I6" authorId="0" shapeId="0">
      <text>
        <r>
          <rPr>
            <sz val="9"/>
            <color indexed="81"/>
            <rFont val="宋体"/>
            <charset val="134"/>
          </rPr>
          <t>Options are:
  Avoidance
  Transference
  Mitigation
  Acceptance
Include a description of what actions are taken to implement the response.</t>
        </r>
      </text>
    </comment>
    <comment ref="L6" authorId="0" shapeId="0">
      <text>
        <r>
          <rPr>
            <sz val="9"/>
            <color indexed="81"/>
            <rFont val="宋体"/>
            <charset val="134"/>
          </rPr>
          <t xml:space="preserve">Options are:
 Open
 Closed
</t>
        </r>
      </text>
    </comment>
  </commentList>
</comments>
</file>

<file path=xl/comments2.xml><?xml version="1.0" encoding="utf-8"?>
<comments xmlns="http://schemas.openxmlformats.org/spreadsheetml/2006/main">
  <authors>
    <author>Default User</author>
  </authors>
  <commentList>
    <comment ref="F6" authorId="0" shapeId="0">
      <text>
        <r>
          <rPr>
            <sz val="9"/>
            <color indexed="81"/>
            <rFont val="宋体"/>
            <charset val="134"/>
          </rPr>
          <t>Options are:
 5: High
 4: Medium-high
 3: Medium
 2: Low-medium
 1: Low</t>
        </r>
      </text>
    </comment>
  </commentList>
</comments>
</file>

<file path=xl/sharedStrings.xml><?xml version="1.0" encoding="utf-8"?>
<sst xmlns="http://schemas.openxmlformats.org/spreadsheetml/2006/main" count="397" uniqueCount="214">
  <si>
    <r>
      <rPr>
        <b/>
        <sz val="11"/>
        <color indexed="62"/>
        <rFont val="宋体"/>
        <charset val="134"/>
      </rPr>
      <t>项目名称</t>
    </r>
    <r>
      <rPr>
        <b/>
        <sz val="11"/>
        <color indexed="62"/>
        <rFont val="Arial"/>
        <family val="2"/>
      </rPr>
      <t>:</t>
    </r>
  </si>
  <si>
    <t>项目详细</t>
  </si>
  <si>
    <t>开始日期</t>
  </si>
  <si>
    <t>开发者</t>
  </si>
  <si>
    <t>开发时间</t>
  </si>
  <si>
    <t>管理者</t>
  </si>
  <si>
    <t>柳哲进</t>
  </si>
  <si>
    <t>文档记录</t>
  </si>
  <si>
    <t>No</t>
  </si>
  <si>
    <t>日期</t>
  </si>
  <si>
    <t>内容</t>
  </si>
  <si>
    <t>记录人</t>
  </si>
  <si>
    <t>项目进度表</t>
  </si>
  <si>
    <t>沈阳德铭源科技 damytech @ 2015</t>
  </si>
  <si>
    <r>
      <rPr>
        <b/>
        <sz val="11"/>
        <color indexed="62"/>
        <rFont val="宋体"/>
        <charset val="134"/>
      </rPr>
      <t>项目</t>
    </r>
    <r>
      <rPr>
        <b/>
        <sz val="11"/>
        <color indexed="62"/>
        <rFont val="Arial"/>
        <family val="2"/>
      </rPr>
      <t>:</t>
    </r>
  </si>
  <si>
    <t xml:space="preserve">              </t>
  </si>
  <si>
    <r>
      <rPr>
        <sz val="11"/>
        <rFont val="宋体"/>
        <charset val="134"/>
      </rPr>
      <t>今天</t>
    </r>
    <r>
      <rPr>
        <sz val="11"/>
        <rFont val="Arial"/>
        <family val="2"/>
      </rPr>
      <t>:</t>
    </r>
  </si>
  <si>
    <t>(vertical red line)</t>
  </si>
  <si>
    <t>项目管理者:</t>
  </si>
  <si>
    <t>[Name]</t>
  </si>
  <si>
    <t>[42]</t>
  </si>
  <si>
    <t>开始日期:</t>
  </si>
  <si>
    <t>结束日期:</t>
  </si>
  <si>
    <r>
      <rPr>
        <i/>
        <sz val="11"/>
        <rFont val="宋体"/>
        <charset val="134"/>
      </rPr>
      <t>周一</t>
    </r>
    <r>
      <rPr>
        <i/>
        <sz val="11"/>
        <rFont val="Arial"/>
        <family val="2"/>
      </rPr>
      <t xml:space="preserve"> (</t>
    </r>
    <r>
      <rPr>
        <i/>
        <sz val="11"/>
        <rFont val="宋体"/>
        <charset val="134"/>
      </rPr>
      <t>星期一</t>
    </r>
    <r>
      <rPr>
        <i/>
        <sz val="11"/>
        <rFont val="Arial"/>
        <family val="2"/>
      </rPr>
      <t>:2):</t>
    </r>
  </si>
  <si>
    <t>WBS</t>
  </si>
  <si>
    <t>任务</t>
  </si>
  <si>
    <t>结束日期</t>
  </si>
  <si>
    <r>
      <rPr>
        <sz val="11"/>
        <rFont val="宋体"/>
        <charset val="134"/>
      </rPr>
      <t>时间</t>
    </r>
    <r>
      <rPr>
        <sz val="11"/>
        <rFont val="Arial"/>
        <family val="2"/>
      </rPr>
      <t xml:space="preserve"> (</t>
    </r>
    <r>
      <rPr>
        <sz val="11"/>
        <rFont val="宋体"/>
        <charset val="134"/>
      </rPr>
      <t>天</t>
    </r>
    <r>
      <rPr>
        <sz val="11"/>
        <rFont val="Arial"/>
        <family val="2"/>
      </rPr>
      <t>)</t>
    </r>
  </si>
  <si>
    <r>
      <rPr>
        <sz val="11"/>
        <rFont val="Arial"/>
        <family val="2"/>
      </rPr>
      <t xml:space="preserve">% </t>
    </r>
    <r>
      <rPr>
        <sz val="11"/>
        <rFont val="宋体"/>
        <charset val="134"/>
      </rPr>
      <t>完成</t>
    </r>
  </si>
  <si>
    <t>工作时间</t>
  </si>
  <si>
    <t>完成时间</t>
  </si>
  <si>
    <t>剩下日期</t>
  </si>
  <si>
    <t>全部</t>
  </si>
  <si>
    <t xml:space="preserve">                </t>
  </si>
  <si>
    <t xml:space="preserve">             </t>
  </si>
  <si>
    <t>1.1.2</t>
  </si>
  <si>
    <t>Sub Task level 2</t>
  </si>
  <si>
    <t>系统结合</t>
  </si>
  <si>
    <t>Budget</t>
  </si>
  <si>
    <t>Project</t>
  </si>
  <si>
    <t xml:space="preserve"> </t>
  </si>
  <si>
    <t>Project #</t>
  </si>
  <si>
    <t>Project manager</t>
  </si>
  <si>
    <t>Sponsor</t>
  </si>
  <si>
    <t>Project artifacts</t>
  </si>
  <si>
    <t>Updated</t>
  </si>
  <si>
    <t>Budget Status</t>
  </si>
  <si>
    <t>Approved Budget</t>
  </si>
  <si>
    <t>Planned Expenditures to Date</t>
  </si>
  <si>
    <t>Actual Expenditures to Date</t>
  </si>
  <si>
    <t>Variance</t>
  </si>
  <si>
    <t>Planned Remaining Budget</t>
  </si>
  <si>
    <t>Actual Remaining Budget</t>
  </si>
  <si>
    <t>Additional $ needed</t>
  </si>
  <si>
    <t>Budget Details</t>
  </si>
  <si>
    <t>Internal Expenses</t>
  </si>
  <si>
    <t>Salaries</t>
  </si>
  <si>
    <t>Hourly Rate</t>
  </si>
  <si>
    <t># Hours</t>
  </si>
  <si>
    <t>Total Cost</t>
  </si>
  <si>
    <t>Type of resource</t>
  </si>
  <si>
    <t>Other Internal Expenses</t>
  </si>
  <si>
    <t>Type of expense</t>
  </si>
  <si>
    <t>Total Internal Expenses</t>
  </si>
  <si>
    <t>External Expenses</t>
  </si>
  <si>
    <t>Consulting Costs</t>
  </si>
  <si>
    <t>Type of consulting</t>
  </si>
  <si>
    <t>Capital Expenditures</t>
  </si>
  <si>
    <t>Total External Expenses</t>
  </si>
  <si>
    <t>Total Budget</t>
  </si>
  <si>
    <r>
      <rPr>
        <b/>
        <sz val="12"/>
        <color indexed="9"/>
        <rFont val="宋体"/>
        <charset val="134"/>
      </rPr>
      <t>风险管理</t>
    </r>
    <r>
      <rPr>
        <b/>
        <sz val="12"/>
        <color indexed="9"/>
        <rFont val="Arial"/>
        <family val="2"/>
      </rPr>
      <t xml:space="preserve"> (</t>
    </r>
    <r>
      <rPr>
        <b/>
        <sz val="12"/>
        <color indexed="9"/>
        <rFont val="宋体"/>
        <charset val="134"/>
      </rPr>
      <t>风险登记</t>
    </r>
    <r>
      <rPr>
        <b/>
        <sz val="12"/>
        <color indexed="9"/>
        <rFont val="Arial"/>
        <family val="2"/>
      </rPr>
      <t>)</t>
    </r>
  </si>
  <si>
    <t>ID</t>
  </si>
  <si>
    <t>Risk Description</t>
  </si>
  <si>
    <t>Probability</t>
  </si>
  <si>
    <t>Impact</t>
  </si>
  <si>
    <t>Detectability</t>
  </si>
  <si>
    <t>Importance</t>
  </si>
  <si>
    <t>Category</t>
  </si>
  <si>
    <t>Trigger Event/Indicator</t>
  </si>
  <si>
    <t>Risk Response and Description</t>
  </si>
  <si>
    <t>Contingency Plan</t>
  </si>
  <si>
    <t>Owner</t>
  </si>
  <si>
    <t>Status</t>
  </si>
  <si>
    <t>Date Entered</t>
  </si>
  <si>
    <t>Date to Review</t>
  </si>
  <si>
    <t>What is this risk?</t>
  </si>
  <si>
    <t>What act or event initiates either the risk occurrence or precipitates the response strategy?</t>
  </si>
  <si>
    <t>How will you respond to this risk and what actions will you take to match that response?</t>
  </si>
  <si>
    <t>If the risk becomes a reality, what will you do in response, as a backup, or alternative/ workaround?</t>
  </si>
  <si>
    <t>Who monitors this risk?</t>
  </si>
  <si>
    <t>问题日志</t>
  </si>
  <si>
    <t>Issue Description</t>
  </si>
  <si>
    <t>Project Impact</t>
  </si>
  <si>
    <t>Action Plan/Resolution</t>
  </si>
  <si>
    <t>Date Resolved</t>
  </si>
  <si>
    <t>What is the issue?</t>
  </si>
  <si>
    <t>How will this impact scope, schedule &amp; cost?</t>
  </si>
  <si>
    <t>How do you intend to deal with this issue?</t>
  </si>
  <si>
    <t>Who manages this issue?</t>
  </si>
  <si>
    <t>Gantt Chart Template</t>
  </si>
  <si>
    <t>© 2008-2009 Vertex42 LLC</t>
  </si>
  <si>
    <t>http://www.vertex42.com/ExcelTemplates/excel-gantt-chart.html</t>
  </si>
  <si>
    <t>安卓手机端开发</t>
    <phoneticPr fontId="7" type="noConversion"/>
  </si>
  <si>
    <t>WebService开发</t>
    <phoneticPr fontId="7" type="noConversion"/>
  </si>
  <si>
    <r>
      <rPr>
        <b/>
        <sz val="11"/>
        <rFont val="SimSun"/>
        <charset val="134"/>
      </rPr>
      <t>后台网站开发</t>
    </r>
    <phoneticPr fontId="7" type="noConversion"/>
  </si>
  <si>
    <t>病虫管理</t>
    <phoneticPr fontId="7" type="noConversion"/>
  </si>
  <si>
    <r>
      <t>病虫害信息主</t>
    </r>
    <r>
      <rPr>
        <sz val="11"/>
        <rFont val="SimSun-ExtB"/>
        <family val="3"/>
        <charset val="134"/>
      </rPr>
      <t>页</t>
    </r>
    <r>
      <rPr>
        <sz val="11"/>
        <rFont val="KP CheongPong"/>
        <family val="3"/>
        <charset val="136"/>
      </rPr>
      <t>面</t>
    </r>
    <phoneticPr fontId="7" type="noConversion"/>
  </si>
  <si>
    <t>新增病虫害</t>
    <phoneticPr fontId="7" type="noConversion"/>
  </si>
  <si>
    <r>
      <rPr>
        <sz val="11"/>
        <rFont val="KP CheongPong"/>
        <family val="3"/>
        <charset val="136"/>
      </rPr>
      <t>新增病虫害</t>
    </r>
    <r>
      <rPr>
        <sz val="11"/>
        <rFont val="Arial Narrow"/>
        <family val="2"/>
      </rPr>
      <t>(</t>
    </r>
    <r>
      <rPr>
        <sz val="11"/>
        <rFont val="SimSun-ExtB"/>
        <family val="3"/>
        <charset val="134"/>
      </rPr>
      <t>调</t>
    </r>
    <r>
      <rPr>
        <sz val="11"/>
        <rFont val="KP CheongPong"/>
        <family val="3"/>
        <charset val="136"/>
      </rPr>
      <t>用官方病虫害</t>
    </r>
    <r>
      <rPr>
        <sz val="11"/>
        <rFont val="MS Gothic"/>
        <family val="3"/>
        <charset val="128"/>
      </rPr>
      <t>数</t>
    </r>
    <r>
      <rPr>
        <sz val="11"/>
        <rFont val="KP CheongPong"/>
        <family val="3"/>
        <charset val="136"/>
      </rPr>
      <t>据</t>
    </r>
    <r>
      <rPr>
        <sz val="11"/>
        <rFont val="Arial Narrow"/>
        <family val="2"/>
      </rPr>
      <t>)</t>
    </r>
    <phoneticPr fontId="7" type="noConversion"/>
  </si>
  <si>
    <t>测报表格主页面</t>
    <phoneticPr fontId="7" type="noConversion"/>
  </si>
  <si>
    <r>
      <rPr>
        <sz val="11"/>
        <rFont val="KP CheongPong"/>
        <family val="3"/>
        <charset val="136"/>
      </rPr>
      <t>主</t>
    </r>
    <r>
      <rPr>
        <sz val="11"/>
        <rFont val="SimSun-ExtB"/>
        <family val="3"/>
        <charset val="134"/>
      </rPr>
      <t>页</t>
    </r>
    <r>
      <rPr>
        <sz val="11"/>
        <rFont val="KP CheongPong"/>
        <family val="3"/>
        <charset val="136"/>
      </rPr>
      <t>面</t>
    </r>
    <phoneticPr fontId="7" type="noConversion"/>
  </si>
  <si>
    <r>
      <rPr>
        <sz val="11"/>
        <rFont val="KP CheongPong"/>
        <family val="3"/>
        <charset val="136"/>
      </rPr>
      <t>新增</t>
    </r>
    <r>
      <rPr>
        <sz val="11"/>
        <rFont val="SimSun-ExtB"/>
        <family val="3"/>
        <charset val="134"/>
      </rPr>
      <t>测报</t>
    </r>
    <r>
      <rPr>
        <sz val="11"/>
        <rFont val="KP CheongPong"/>
        <family val="3"/>
        <charset val="136"/>
      </rPr>
      <t>点</t>
    </r>
    <phoneticPr fontId="7" type="noConversion"/>
  </si>
  <si>
    <r>
      <rPr>
        <sz val="11"/>
        <rFont val="KP CheongPong"/>
        <family val="3"/>
        <charset val="136"/>
      </rPr>
      <t>批量</t>
    </r>
    <r>
      <rPr>
        <sz val="11"/>
        <rFont val="SimSun-ExtB"/>
        <family val="3"/>
        <charset val="134"/>
      </rPr>
      <t>导</t>
    </r>
    <r>
      <rPr>
        <sz val="11"/>
        <rFont val="KP CheongPong"/>
        <family val="3"/>
        <charset val="136"/>
      </rPr>
      <t>出</t>
    </r>
    <r>
      <rPr>
        <sz val="11"/>
        <rFont val="SimSun-ExtB"/>
        <family val="3"/>
        <charset val="134"/>
      </rPr>
      <t>测报</t>
    </r>
    <r>
      <rPr>
        <sz val="11"/>
        <rFont val="KP CheongPong"/>
        <family val="3"/>
        <charset val="136"/>
      </rPr>
      <t>点</t>
    </r>
    <phoneticPr fontId="7" type="noConversion"/>
  </si>
  <si>
    <r>
      <rPr>
        <sz val="11"/>
        <rFont val="KP CheongPong"/>
        <family val="3"/>
        <charset val="136"/>
      </rPr>
      <t>批量</t>
    </r>
    <r>
      <rPr>
        <sz val="11"/>
        <rFont val="SimSun-ExtB"/>
        <family val="3"/>
        <charset val="134"/>
      </rPr>
      <t>导入测报点</t>
    </r>
    <phoneticPr fontId="7" type="noConversion"/>
  </si>
  <si>
    <r>
      <rPr>
        <sz val="11"/>
        <rFont val="SimSun-ExtB"/>
        <family val="3"/>
        <charset val="134"/>
      </rPr>
      <t>测报</t>
    </r>
    <r>
      <rPr>
        <sz val="11"/>
        <rFont val="MS Gothic"/>
        <family val="3"/>
        <charset val="128"/>
      </rPr>
      <t>点</t>
    </r>
    <r>
      <rPr>
        <sz val="11"/>
        <rFont val="KP CheongPong"/>
        <family val="3"/>
        <charset val="136"/>
      </rPr>
      <t>查</t>
    </r>
    <r>
      <rPr>
        <sz val="11"/>
        <rFont val="MS Gothic"/>
        <family val="3"/>
        <charset val="128"/>
      </rPr>
      <t>看</t>
    </r>
    <r>
      <rPr>
        <sz val="11"/>
        <rFont val="Arial Narrow"/>
        <family val="2"/>
      </rPr>
      <t>/</t>
    </r>
    <r>
      <rPr>
        <sz val="11"/>
        <rFont val="MS Gothic"/>
        <family val="3"/>
        <charset val="128"/>
      </rPr>
      <t>修改</t>
    </r>
    <r>
      <rPr>
        <sz val="11"/>
        <rFont val="Arial Narrow"/>
        <family val="2"/>
      </rPr>
      <t>/</t>
    </r>
    <r>
      <rPr>
        <sz val="11"/>
        <rFont val="SimSun-ExtB"/>
        <family val="3"/>
        <charset val="134"/>
      </rPr>
      <t>删</t>
    </r>
    <r>
      <rPr>
        <sz val="11"/>
        <rFont val="MS Gothic"/>
        <family val="3"/>
        <charset val="128"/>
      </rPr>
      <t>除，批量</t>
    </r>
    <r>
      <rPr>
        <sz val="11"/>
        <rFont val="SimSun-ExtB"/>
        <family val="3"/>
        <charset val="134"/>
      </rPr>
      <t>删</t>
    </r>
    <r>
      <rPr>
        <sz val="11"/>
        <rFont val="MS Gothic"/>
        <family val="3"/>
        <charset val="128"/>
      </rPr>
      <t>除</t>
    </r>
    <phoneticPr fontId="7" type="noConversion"/>
  </si>
  <si>
    <t>主页面</t>
    <phoneticPr fontId="7" type="noConversion"/>
  </si>
  <si>
    <t>查看、审核上报数据</t>
    <phoneticPr fontId="7" type="noConversion"/>
  </si>
  <si>
    <t>修改上报数据</t>
    <phoneticPr fontId="7" type="noConversion"/>
  </si>
  <si>
    <t>批量导出上报数据</t>
    <phoneticPr fontId="7" type="noConversion"/>
  </si>
  <si>
    <t>导入上报数据</t>
    <phoneticPr fontId="7" type="noConversion"/>
  </si>
  <si>
    <t>统计分析</t>
    <phoneticPr fontId="7" type="noConversion"/>
  </si>
  <si>
    <t>汇总统计</t>
    <phoneticPr fontId="7" type="noConversion"/>
  </si>
  <si>
    <t>折线图统计</t>
    <phoneticPr fontId="7" type="noConversion"/>
  </si>
  <si>
    <t>柱状图统计</t>
    <phoneticPr fontId="7" type="noConversion"/>
  </si>
  <si>
    <t>工作管理</t>
    <phoneticPr fontId="7" type="noConversion"/>
  </si>
  <si>
    <r>
      <rPr>
        <sz val="11"/>
        <rFont val="SimSun-ExtB"/>
        <family val="3"/>
        <charset val="134"/>
      </rPr>
      <t>测报</t>
    </r>
    <r>
      <rPr>
        <sz val="11"/>
        <rFont val="MS Gothic"/>
        <family val="3"/>
        <charset val="128"/>
      </rPr>
      <t>点管理</t>
    </r>
    <phoneticPr fontId="7" type="noConversion"/>
  </si>
  <si>
    <r>
      <rPr>
        <sz val="11"/>
        <rFont val="KP CheongPong"/>
        <family val="3"/>
        <charset val="136"/>
      </rPr>
      <t>上</t>
    </r>
    <r>
      <rPr>
        <sz val="11"/>
        <rFont val="SimSun-ExtB"/>
        <family val="3"/>
        <charset val="134"/>
      </rPr>
      <t>报数据管理</t>
    </r>
    <phoneticPr fontId="7" type="noConversion"/>
  </si>
  <si>
    <t>测报计划主页面</t>
    <phoneticPr fontId="7" type="noConversion"/>
  </si>
  <si>
    <t>新增、删除测报计划</t>
    <phoneticPr fontId="7" type="noConversion"/>
  </si>
  <si>
    <t>编辑测报计划主页面</t>
    <phoneticPr fontId="7" type="noConversion"/>
  </si>
  <si>
    <t>新增工作</t>
    <phoneticPr fontId="7" type="noConversion"/>
  </si>
  <si>
    <t>管理办法</t>
    <phoneticPr fontId="7" type="noConversion"/>
  </si>
  <si>
    <t>临时工作</t>
    <phoneticPr fontId="7" type="noConversion"/>
  </si>
  <si>
    <t>上级通知</t>
    <phoneticPr fontId="7" type="noConversion"/>
  </si>
  <si>
    <t>下级通知</t>
    <phoneticPr fontId="7" type="noConversion"/>
  </si>
  <si>
    <t>动态数据</t>
    <phoneticPr fontId="7" type="noConversion"/>
  </si>
  <si>
    <t>病虫预警</t>
    <phoneticPr fontId="7" type="noConversion"/>
  </si>
  <si>
    <t>系统设置</t>
    <phoneticPr fontId="7" type="noConversion"/>
  </si>
  <si>
    <t>系统恢复</t>
    <phoneticPr fontId="7" type="noConversion"/>
  </si>
  <si>
    <t>尹升日</t>
    <phoneticPr fontId="7" type="noConversion"/>
  </si>
  <si>
    <t>管理员功能</t>
    <phoneticPr fontId="7" type="noConversion"/>
  </si>
  <si>
    <t>基本信息管理</t>
    <phoneticPr fontId="7" type="noConversion"/>
  </si>
  <si>
    <t>工作安排</t>
    <phoneticPr fontId="7" type="noConversion"/>
  </si>
  <si>
    <t>动态数据管理</t>
    <phoneticPr fontId="7" type="noConversion"/>
  </si>
  <si>
    <t>数据分析</t>
    <phoneticPr fontId="7" type="noConversion"/>
  </si>
  <si>
    <t>预警信息审核</t>
    <phoneticPr fontId="7" type="noConversion"/>
  </si>
  <si>
    <t>视频指导</t>
    <phoneticPr fontId="7" type="noConversion"/>
  </si>
  <si>
    <t>历史测报数据</t>
    <phoneticPr fontId="7" type="noConversion"/>
  </si>
  <si>
    <t>测报员管理</t>
    <phoneticPr fontId="7" type="noConversion"/>
  </si>
  <si>
    <t>通知</t>
    <phoneticPr fontId="7" type="noConversion"/>
  </si>
  <si>
    <t>测报员功能</t>
    <phoneticPr fontId="7" type="noConversion"/>
  </si>
  <si>
    <t>我的位置</t>
    <phoneticPr fontId="7" type="noConversion"/>
  </si>
  <si>
    <t>数据上报</t>
    <phoneticPr fontId="7" type="noConversion"/>
  </si>
  <si>
    <t>我的工作</t>
    <phoneticPr fontId="7" type="noConversion"/>
  </si>
  <si>
    <t>历史上报查询</t>
    <phoneticPr fontId="7" type="noConversion"/>
  </si>
  <si>
    <t>视频预约</t>
    <phoneticPr fontId="7" type="noConversion"/>
  </si>
  <si>
    <t>预警信息申报</t>
    <phoneticPr fontId="7" type="noConversion"/>
  </si>
  <si>
    <t>测报点管理</t>
    <phoneticPr fontId="7" type="noConversion"/>
  </si>
  <si>
    <t>测报员管理办法</t>
    <phoneticPr fontId="7" type="noConversion"/>
  </si>
  <si>
    <t>设置</t>
    <phoneticPr fontId="7" type="noConversion"/>
  </si>
  <si>
    <t>我的信息</t>
    <phoneticPr fontId="7" type="noConversion"/>
  </si>
  <si>
    <t>关于我们，功能介绍</t>
    <phoneticPr fontId="7" type="noConversion"/>
  </si>
  <si>
    <t>意见反馈</t>
    <phoneticPr fontId="7" type="noConversion"/>
  </si>
  <si>
    <t>帮助信息</t>
    <phoneticPr fontId="7" type="noConversion"/>
  </si>
  <si>
    <t>loginUser(用户登录)</t>
  </si>
  <si>
    <t>getShengs(获取省信息)</t>
  </si>
  <si>
    <t>getShis(获取市信息)</t>
  </si>
  <si>
    <t>getXians(获取县信息)</t>
  </si>
  <si>
    <t>getPoints(测报点搜索)</t>
  </si>
  <si>
    <t>getPointInfo(获取测报点信息)</t>
  </si>
  <si>
    <t>getBlights(病虫害搜索)</t>
  </si>
  <si>
    <t>getBlightInfo(获取病虫害信息)</t>
  </si>
  <si>
    <t>getUsers(用户搜索)</t>
  </si>
  <si>
    <t>getUserInfo(获取用户信息)</t>
  </si>
  <si>
    <t>getReports(上报记录搜索)</t>
  </si>
  <si>
    <t>getReportInfo(获取上报信息)</t>
  </si>
  <si>
    <t>getForms(上报表格样式搜索)</t>
  </si>
  <si>
    <t>getFields(表格字段搜索)</t>
  </si>
  <si>
    <t>setReports(病虫害上报)</t>
  </si>
  <si>
    <t>uploadWatcherTrack(测报员轨迹动态上报)</t>
  </si>
  <si>
    <t>uploadExtraTask(发布临时工作)</t>
  </si>
  <si>
    <t>getExtraTasks (获取临时工作)</t>
  </si>
  <si>
    <t>getExtraTaskInfo(获取临时工作信息)</t>
  </si>
  <si>
    <t>getTempBlights(获取新发病虫害)</t>
  </si>
  <si>
    <t>getTempBlightInfo(获取新发病虫害信息)</t>
  </si>
  <si>
    <t>uploadTempBlight(新发病虫害申报)</t>
  </si>
  <si>
    <t>getHelp(获取管理办法和帮助信息)</t>
  </si>
  <si>
    <t>getNotices(获取通知目录)</t>
  </si>
  <si>
    <t>getReportLine(获取折线图统计信息)</t>
  </si>
  <si>
    <t>getReportBar(获取柱状图统计信息)</t>
  </si>
  <si>
    <t>getReportHistory(获取测报点上报记录)</t>
  </si>
  <si>
    <t>getTaskCount(获取测报员工作数量)</t>
  </si>
  <si>
    <t>getTaskList(获取测报员固定工作目录)</t>
  </si>
  <si>
    <t>getTaskInfo(获取固定工作详情信息)</t>
  </si>
  <si>
    <t>getTaskStatus(获取测报员工作结果)</t>
  </si>
  <si>
    <t>getVersion(获取版本信息)</t>
  </si>
  <si>
    <t>病虫测报管理平台二期</t>
  </si>
  <si>
    <t>网站和手机端功能进度</t>
  </si>
  <si>
    <t>尹升日</t>
  </si>
  <si>
    <t>张忠昱</t>
  </si>
  <si>
    <t>张忠昱，柳哲进</t>
  </si>
  <si>
    <t>难度</t>
  </si>
  <si>
    <t>刘俊宏</t>
  </si>
  <si>
    <t>史瑞丰</t>
  </si>
  <si>
    <t>角色设置</t>
  </si>
  <si>
    <t>地区管理</t>
  </si>
  <si>
    <t>直属单位设置</t>
  </si>
  <si>
    <t>用户管理</t>
  </si>
  <si>
    <t>字段设置</t>
  </si>
  <si>
    <t>表格管理</t>
  </si>
  <si>
    <t>张忠昱，史瑞丰</t>
  </si>
  <si>
    <t>肖娜娜</t>
  </si>
  <si>
    <t>尹升日，金学敏，张忠昱，肖娜娜，刘俊宏，史瑞丰</t>
  </si>
  <si>
    <t>金学敏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</si>
</sst>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m/d/yy;@"/>
    <numFmt numFmtId="166" formatCode="yyyy/m/d;@"/>
  </numFmts>
  <fonts count="62">
    <font>
      <sz val="10"/>
      <name val="Arial"/>
      <charset val="134"/>
    </font>
    <font>
      <sz val="12"/>
      <name val="Arial"/>
      <family val="2"/>
    </font>
    <font>
      <u/>
      <sz val="10"/>
      <color indexed="12"/>
      <name val="Arial"/>
      <family val="2"/>
    </font>
    <font>
      <b/>
      <sz val="12"/>
      <color indexed="9"/>
      <name val="宋体"/>
      <charset val="134"/>
    </font>
    <font>
      <b/>
      <sz val="12"/>
      <color indexed="9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sz val="9"/>
      <name val="Arial"/>
      <family val="2"/>
    </font>
    <font>
      <b/>
      <sz val="10"/>
      <color indexed="9"/>
      <name val="Arial"/>
      <family val="2"/>
    </font>
    <font>
      <b/>
      <sz val="9"/>
      <color indexed="9"/>
      <name val="Arial"/>
      <family val="2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0"/>
      <color indexed="9"/>
      <name val="Times New Roman"/>
      <family val="1"/>
    </font>
    <font>
      <sz val="11"/>
      <name val="Arial"/>
      <family val="2"/>
    </font>
    <font>
      <b/>
      <sz val="11"/>
      <color indexed="9"/>
      <name val="宋体"/>
      <charset val="134"/>
    </font>
    <font>
      <b/>
      <sz val="11"/>
      <color indexed="16"/>
      <name val="Trebuchet MS"/>
      <family val="2"/>
    </font>
    <font>
      <sz val="11"/>
      <color indexed="16"/>
      <name val="Trebuchet MS"/>
      <family val="2"/>
    </font>
    <font>
      <b/>
      <sz val="11"/>
      <color indexed="62"/>
      <name val="Arial"/>
      <family val="2"/>
    </font>
    <font>
      <sz val="11"/>
      <name val="宋体"/>
      <charset val="134"/>
    </font>
    <font>
      <sz val="11"/>
      <color indexed="9"/>
      <name val="Arial"/>
      <family val="2"/>
    </font>
    <font>
      <b/>
      <sz val="11"/>
      <name val="Arial"/>
      <family val="2"/>
    </font>
    <font>
      <b/>
      <sz val="11"/>
      <name val="宋体"/>
      <charset val="134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62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i/>
      <sz val="11"/>
      <color indexed="9"/>
      <name val="Arial"/>
      <family val="2"/>
    </font>
    <font>
      <b/>
      <sz val="10"/>
      <color indexed="62"/>
      <name val="Arial"/>
      <family val="2"/>
    </font>
    <font>
      <b/>
      <sz val="10"/>
      <name val="Arial"/>
      <family val="2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1"/>
      <color indexed="59"/>
      <name val="Calibri"/>
      <family val="2"/>
    </font>
    <font>
      <b/>
      <sz val="11"/>
      <color indexed="8"/>
      <name val="Calibri"/>
      <family val="2"/>
    </font>
    <font>
      <b/>
      <sz val="18"/>
      <color indexed="18"/>
      <name val="Cambria"/>
      <family val="1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sz val="11"/>
      <color indexed="50"/>
      <name val="Calibri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3"/>
      <color indexed="18"/>
      <name val="Calibri"/>
      <family val="2"/>
    </font>
    <font>
      <sz val="11"/>
      <color indexed="53"/>
      <name val="Calibri"/>
      <family val="2"/>
    </font>
    <font>
      <i/>
      <sz val="11"/>
      <color indexed="23"/>
      <name val="Calibri"/>
      <family val="2"/>
    </font>
    <font>
      <b/>
      <sz val="11"/>
      <color indexed="18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b/>
      <sz val="11"/>
      <color indexed="50"/>
      <name val="Calibri"/>
      <family val="2"/>
    </font>
    <font>
      <b/>
      <sz val="15"/>
      <color indexed="18"/>
      <name val="Calibri"/>
      <family val="2"/>
    </font>
    <font>
      <b/>
      <sz val="11"/>
      <color indexed="63"/>
      <name val="Calibri"/>
      <family val="2"/>
    </font>
    <font>
      <b/>
      <sz val="11"/>
      <color indexed="62"/>
      <name val="宋体"/>
      <charset val="134"/>
    </font>
    <font>
      <i/>
      <sz val="11"/>
      <name val="宋体"/>
      <charset val="134"/>
    </font>
    <font>
      <sz val="10"/>
      <name val="Arial"/>
      <family val="2"/>
    </font>
    <font>
      <sz val="9"/>
      <color indexed="81"/>
      <name val="宋体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SimSun"/>
      <family val="3"/>
      <charset val="134"/>
    </font>
    <font>
      <b/>
      <sz val="11"/>
      <name val="SimSun"/>
      <charset val="134"/>
    </font>
    <font>
      <sz val="11"/>
      <name val="KP CheongPong"/>
      <family val="3"/>
      <charset val="136"/>
    </font>
    <font>
      <sz val="11"/>
      <name val="SimSun-ExtB"/>
      <family val="3"/>
      <charset val="134"/>
    </font>
    <font>
      <sz val="11"/>
      <name val="MS Gothic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55"/>
      </left>
      <right/>
      <top/>
      <bottom style="thin">
        <color indexed="64"/>
      </bottom>
      <diagonal/>
    </border>
    <border>
      <left/>
      <right style="thin">
        <color indexed="55"/>
      </right>
      <top/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 style="thin">
        <color indexed="40"/>
      </left>
      <right style="thin">
        <color indexed="40"/>
      </right>
      <top style="thin">
        <color indexed="40"/>
      </top>
      <bottom style="thin">
        <color indexed="40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/>
      <bottom style="double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thick">
        <color indexed="4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5">
    <xf numFmtId="0" fontId="0" fillId="0" borderId="0">
      <alignment vertical="center"/>
    </xf>
    <xf numFmtId="0" fontId="37" fillId="8" borderId="0" applyNumberFormat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3" fillId="12" borderId="27" applyNumberFormat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53" fillId="0" borderId="0">
      <alignment vertical="center"/>
    </xf>
    <xf numFmtId="0" fontId="40" fillId="18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5" fillId="0" borderId="29" applyNumberFormat="0" applyFill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50" fillId="21" borderId="31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49" fillId="0" borderId="30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6" fillId="19" borderId="0" applyNumberFormat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48" fillId="21" borderId="27" applyNumberFormat="0" applyAlignment="0" applyProtection="0">
      <alignment vertical="center"/>
    </xf>
    <xf numFmtId="0" fontId="41" fillId="11" borderId="25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3" fillId="4" borderId="28" applyNumberFormat="0" applyFont="0" applyAlignment="0" applyProtection="0">
      <alignment vertical="center"/>
    </xf>
  </cellStyleXfs>
  <cellXfs count="187">
    <xf numFmtId="0" fontId="0" fillId="0" borderId="0" xfId="0" applyAlignment="1"/>
    <xf numFmtId="0" fontId="1" fillId="0" borderId="0" xfId="0" applyFont="1" applyAlignment="1"/>
    <xf numFmtId="0" fontId="2" fillId="0" borderId="0" xfId="34" applyAlignment="1" applyProtection="1"/>
    <xf numFmtId="0" fontId="0" fillId="2" borderId="0" xfId="0" applyFill="1" applyAlignment="1"/>
    <xf numFmtId="0" fontId="6" fillId="4" borderId="1" xfId="0" applyFont="1" applyFill="1" applyBorder="1" applyAlignment="1"/>
    <xf numFmtId="0" fontId="5" fillId="4" borderId="1" xfId="0" applyFont="1" applyFill="1" applyBorder="1" applyAlignment="1"/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textRotation="90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5" fillId="4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wrapText="1"/>
    </xf>
    <xf numFmtId="0" fontId="6" fillId="0" borderId="1" xfId="0" applyFont="1" applyBorder="1" applyAlignment="1"/>
    <xf numFmtId="0" fontId="6" fillId="0" borderId="1" xfId="0" applyFont="1" applyBorder="1" applyAlignment="1">
      <alignment horizontal="left" wrapText="1"/>
    </xf>
    <xf numFmtId="0" fontId="6" fillId="4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6" fillId="4" borderId="1" xfId="0" applyFont="1" applyFill="1" applyBorder="1" applyAlignment="1"/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 wrapText="1"/>
    </xf>
    <xf numFmtId="0" fontId="9" fillId="5" borderId="5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left" indent="2"/>
    </xf>
    <xf numFmtId="0" fontId="11" fillId="0" borderId="1" xfId="0" applyFont="1" applyFill="1" applyBorder="1" applyAlignment="1">
      <alignment horizontal="left" indent="3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Fill="1" applyBorder="1" applyAlignment="1">
      <alignment horizontal="left" indent="3"/>
    </xf>
    <xf numFmtId="164" fontId="10" fillId="4" borderId="1" xfId="0" applyNumberFormat="1" applyFont="1" applyFill="1" applyBorder="1" applyAlignment="1">
      <alignment horizontal="center"/>
    </xf>
    <xf numFmtId="0" fontId="0" fillId="3" borderId="10" xfId="0" applyFill="1" applyBorder="1" applyAlignment="1"/>
    <xf numFmtId="164" fontId="12" fillId="3" borderId="1" xfId="0" applyNumberFormat="1" applyFont="1" applyFill="1" applyBorder="1" applyAlignment="1">
      <alignment horizontal="center"/>
    </xf>
    <xf numFmtId="0" fontId="13" fillId="2" borderId="0" xfId="0" applyFont="1" applyFill="1" applyAlignment="1"/>
    <xf numFmtId="0" fontId="13" fillId="2" borderId="0" xfId="0" applyFont="1" applyFill="1" applyBorder="1" applyAlignment="1"/>
    <xf numFmtId="0" fontId="13" fillId="2" borderId="14" xfId="0" applyFont="1" applyFill="1" applyBorder="1" applyAlignment="1" applyProtection="1"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0" xfId="0" applyFont="1" applyFill="1" applyBorder="1" applyAlignment="1" applyProtection="1"/>
    <xf numFmtId="0" fontId="13" fillId="2" borderId="0" xfId="0" applyFont="1" applyFill="1" applyBorder="1" applyAlignment="1"/>
    <xf numFmtId="0" fontId="13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0" fontId="15" fillId="3" borderId="0" xfId="0" applyFont="1" applyFill="1" applyAlignment="1">
      <alignment vertical="center"/>
    </xf>
    <xf numFmtId="0" fontId="14" fillId="3" borderId="0" xfId="0" applyFont="1" applyFill="1" applyAlignment="1">
      <alignment vertical="center" wrapText="1"/>
    </xf>
    <xf numFmtId="0" fontId="15" fillId="3" borderId="0" xfId="0" applyFont="1" applyFill="1" applyAlignment="1">
      <alignment horizontal="right" vertical="center"/>
    </xf>
    <xf numFmtId="0" fontId="16" fillId="3" borderId="0" xfId="0" applyFont="1" applyFill="1" applyAlignment="1">
      <alignment horizontal="right" vertical="center"/>
    </xf>
    <xf numFmtId="0" fontId="13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vertical="center"/>
    </xf>
    <xf numFmtId="0" fontId="17" fillId="2" borderId="0" xfId="0" applyFont="1" applyFill="1" applyAlignment="1" applyProtection="1">
      <protection locked="0"/>
    </xf>
    <xf numFmtId="0" fontId="17" fillId="2" borderId="0" xfId="0" applyFont="1" applyFill="1" applyAlignment="1"/>
    <xf numFmtId="0" fontId="13" fillId="2" borderId="0" xfId="0" applyFont="1" applyFill="1" applyAlignment="1" applyProtection="1">
      <protection locked="0"/>
    </xf>
    <xf numFmtId="14" fontId="13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>
      <alignment horizontal="right"/>
    </xf>
    <xf numFmtId="0" fontId="19" fillId="2" borderId="0" xfId="0" applyFont="1" applyFill="1" applyAlignment="1"/>
    <xf numFmtId="14" fontId="13" fillId="2" borderId="0" xfId="0" applyNumberFormat="1" applyFont="1" applyFill="1" applyBorder="1" applyAlignment="1">
      <alignment horizontal="left" vertical="center"/>
    </xf>
    <xf numFmtId="0" fontId="20" fillId="2" borderId="2" xfId="0" applyFont="1" applyFill="1" applyBorder="1" applyAlignment="1"/>
    <xf numFmtId="0" fontId="21" fillId="2" borderId="2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center" vertical="center" textRotation="90" wrapText="1"/>
    </xf>
    <xf numFmtId="0" fontId="13" fillId="2" borderId="2" xfId="0" applyFont="1" applyFill="1" applyBorder="1" applyAlignment="1">
      <alignment horizontal="center" vertical="center" textRotation="90"/>
    </xf>
    <xf numFmtId="0" fontId="18" fillId="2" borderId="2" xfId="0" applyFont="1" applyFill="1" applyBorder="1" applyAlignment="1">
      <alignment horizontal="center" vertical="center" textRotation="90" wrapText="1"/>
    </xf>
    <xf numFmtId="0" fontId="20" fillId="2" borderId="15" xfId="0" applyNumberFormat="1" applyFont="1" applyFill="1" applyBorder="1" applyAlignment="1" applyProtection="1">
      <alignment horizontal="left"/>
      <protection locked="0"/>
    </xf>
    <xf numFmtId="165" fontId="13" fillId="2" borderId="15" xfId="0" applyNumberFormat="1" applyFont="1" applyFill="1" applyBorder="1" applyAlignment="1" applyProtection="1">
      <alignment horizontal="right" vertical="center"/>
      <protection locked="0"/>
    </xf>
    <xf numFmtId="1" fontId="13" fillId="2" borderId="15" xfId="0" applyNumberFormat="1" applyFont="1" applyFill="1" applyBorder="1" applyAlignment="1" applyProtection="1">
      <alignment horizontal="center" vertical="center"/>
      <protection locked="0"/>
    </xf>
    <xf numFmtId="9" fontId="13" fillId="2" borderId="15" xfId="2" applyFont="1" applyFill="1" applyBorder="1" applyAlignment="1" applyProtection="1">
      <alignment horizontal="center" vertical="center"/>
      <protection locked="0"/>
    </xf>
    <xf numFmtId="0" fontId="13" fillId="2" borderId="14" xfId="0" applyNumberFormat="1" applyFont="1" applyFill="1" applyBorder="1" applyAlignment="1" applyProtection="1">
      <alignment horizontal="left" vertical="center"/>
      <protection locked="0"/>
    </xf>
    <xf numFmtId="165" fontId="13" fillId="2" borderId="14" xfId="0" applyNumberFormat="1" applyFont="1" applyFill="1" applyBorder="1" applyAlignment="1" applyProtection="1">
      <alignment horizontal="right" vertical="center"/>
      <protection locked="0"/>
    </xf>
    <xf numFmtId="1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NumberFormat="1" applyFont="1" applyFill="1" applyBorder="1" applyAlignment="1" applyProtection="1">
      <alignment horizontal="left"/>
      <protection locked="0"/>
    </xf>
    <xf numFmtId="0" fontId="23" fillId="2" borderId="14" xfId="0" applyFont="1" applyFill="1" applyBorder="1" applyAlignment="1" applyProtection="1">
      <alignment vertical="center" wrapText="1"/>
      <protection locked="0"/>
    </xf>
    <xf numFmtId="9" fontId="13" fillId="2" borderId="14" xfId="2" applyFont="1" applyFill="1" applyBorder="1" applyAlignment="1" applyProtection="1">
      <alignment horizontal="center" vertical="center"/>
      <protection locked="0"/>
    </xf>
    <xf numFmtId="0" fontId="23" fillId="2" borderId="14" xfId="0" applyFont="1" applyFill="1" applyBorder="1" applyAlignment="1" applyProtection="1">
      <alignment wrapText="1"/>
      <protection locked="0"/>
    </xf>
    <xf numFmtId="0" fontId="20" fillId="2" borderId="14" xfId="0" applyNumberFormat="1" applyFont="1" applyFill="1" applyBorder="1" applyAlignment="1" applyProtection="1">
      <alignment horizontal="left"/>
      <protection locked="0"/>
    </xf>
    <xf numFmtId="0" fontId="22" fillId="2" borderId="14" xfId="0" applyFont="1" applyFill="1" applyBorder="1" applyAlignment="1" applyProtection="1">
      <alignment wrapText="1"/>
      <protection locked="0"/>
    </xf>
    <xf numFmtId="0" fontId="24" fillId="3" borderId="0" xfId="0" applyNumberFormat="1" applyFont="1" applyFill="1" applyAlignment="1" applyProtection="1">
      <alignment horizontal="right"/>
      <protection locked="0"/>
    </xf>
    <xf numFmtId="0" fontId="13" fillId="3" borderId="0" xfId="0" applyFont="1" applyFill="1" applyAlignment="1"/>
    <xf numFmtId="0" fontId="26" fillId="2" borderId="0" xfId="0" applyFont="1" applyFill="1" applyAlignment="1">
      <alignment horizontal="right" vertical="center"/>
    </xf>
    <xf numFmtId="0" fontId="13" fillId="2" borderId="0" xfId="0" applyFont="1" applyFill="1" applyAlignment="1" applyProtection="1">
      <alignment horizontal="center"/>
      <protection locked="0"/>
    </xf>
    <xf numFmtId="14" fontId="27" fillId="2" borderId="0" xfId="0" applyNumberFormat="1" applyFont="1" applyFill="1" applyAlignment="1"/>
    <xf numFmtId="14" fontId="19" fillId="2" borderId="0" xfId="0" applyNumberFormat="1" applyFont="1" applyFill="1" applyAlignment="1"/>
    <xf numFmtId="0" fontId="18" fillId="2" borderId="2" xfId="0" applyFont="1" applyFill="1" applyBorder="1" applyAlignment="1">
      <alignment horizontal="center" vertical="center" textRotation="90"/>
    </xf>
    <xf numFmtId="1" fontId="13" fillId="2" borderId="15" xfId="2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protection locked="0"/>
    </xf>
    <xf numFmtId="1" fontId="13" fillId="2" borderId="14" xfId="2" applyNumberFormat="1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Alignment="1"/>
    <xf numFmtId="0" fontId="19" fillId="2" borderId="0" xfId="0" applyFont="1" applyFill="1" applyBorder="1" applyAlignment="1"/>
    <xf numFmtId="0" fontId="13" fillId="2" borderId="0" xfId="0" applyFont="1" applyFill="1" applyBorder="1" applyAlignment="1" applyProtection="1">
      <protection locked="0"/>
    </xf>
    <xf numFmtId="0" fontId="13" fillId="2" borderId="0" xfId="0" applyFont="1" applyFill="1" applyBorder="1" applyAlignment="1" applyProtection="1">
      <alignment horizontal="left" vertical="center"/>
      <protection locked="0"/>
    </xf>
    <xf numFmtId="0" fontId="13" fillId="2" borderId="0" xfId="0" applyFont="1" applyFill="1" applyAlignment="1" applyProtection="1"/>
    <xf numFmtId="0" fontId="13" fillId="2" borderId="0" xfId="0" applyFont="1" applyFill="1" applyAlignment="1" applyProtection="1">
      <alignment vertical="center" wrapText="1"/>
    </xf>
    <xf numFmtId="0" fontId="13" fillId="2" borderId="0" xfId="0" applyFont="1" applyFill="1" applyAlignment="1" applyProtection="1">
      <alignment horizontal="right" vertical="center"/>
    </xf>
    <xf numFmtId="0" fontId="13" fillId="2" borderId="0" xfId="0" applyFont="1" applyFill="1" applyAlignment="1" applyProtection="1">
      <alignment vertical="center"/>
    </xf>
    <xf numFmtId="0" fontId="0" fillId="2" borderId="0" xfId="0" applyFill="1" applyBorder="1" applyAlignment="1"/>
    <xf numFmtId="0" fontId="17" fillId="2" borderId="0" xfId="0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9" fillId="2" borderId="0" xfId="0" applyFont="1" applyFill="1" applyBorder="1" applyAlignment="1"/>
    <xf numFmtId="0" fontId="30" fillId="2" borderId="0" xfId="0" applyFont="1" applyFill="1" applyBorder="1" applyAlignment="1"/>
    <xf numFmtId="0" fontId="31" fillId="2" borderId="18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32" fillId="2" borderId="19" xfId="0" applyFont="1" applyFill="1" applyBorder="1" applyAlignment="1">
      <alignment horizontal="center" vertical="center"/>
    </xf>
    <xf numFmtId="0" fontId="13" fillId="2" borderId="19" xfId="0" applyFont="1" applyFill="1" applyBorder="1" applyAlignment="1"/>
    <xf numFmtId="0" fontId="31" fillId="2" borderId="20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32" fillId="2" borderId="21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9" xfId="0" applyFill="1" applyBorder="1" applyAlignment="1"/>
    <xf numFmtId="14" fontId="13" fillId="2" borderId="19" xfId="0" applyNumberFormat="1" applyFont="1" applyFill="1" applyBorder="1" applyAlignment="1"/>
    <xf numFmtId="0" fontId="56" fillId="2" borderId="14" xfId="0" applyFont="1" applyFill="1" applyBorder="1" applyAlignment="1" applyProtection="1">
      <alignment wrapText="1"/>
      <protection locked="0"/>
    </xf>
    <xf numFmtId="0" fontId="55" fillId="2" borderId="14" xfId="0" applyFont="1" applyFill="1" applyBorder="1" applyAlignment="1" applyProtection="1">
      <alignment wrapText="1"/>
      <protection locked="0"/>
    </xf>
    <xf numFmtId="0" fontId="55" fillId="2" borderId="14" xfId="0" applyFont="1" applyFill="1" applyBorder="1" applyAlignment="1" applyProtection="1">
      <alignment horizontal="left" wrapText="1" indent="1"/>
      <protection locked="0"/>
    </xf>
    <xf numFmtId="0" fontId="57" fillId="2" borderId="15" xfId="0" applyFont="1" applyFill="1" applyBorder="1" applyAlignment="1" applyProtection="1">
      <alignment wrapText="1"/>
      <protection locked="0"/>
    </xf>
    <xf numFmtId="0" fontId="59" fillId="2" borderId="14" xfId="0" applyFont="1" applyFill="1" applyBorder="1" applyAlignment="1" applyProtection="1">
      <alignment horizontal="left" vertical="center" wrapText="1"/>
      <protection locked="0"/>
    </xf>
    <xf numFmtId="0" fontId="60" fillId="2" borderId="14" xfId="0" applyFont="1" applyFill="1" applyBorder="1" applyAlignment="1" applyProtection="1">
      <alignment wrapText="1"/>
      <protection locked="0"/>
    </xf>
    <xf numFmtId="0" fontId="60" fillId="2" borderId="14" xfId="0" applyFont="1" applyFill="1" applyBorder="1" applyAlignment="1" applyProtection="1">
      <alignment horizontal="left" wrapText="1" indent="1"/>
      <protection locked="0"/>
    </xf>
    <xf numFmtId="0" fontId="59" fillId="2" borderId="14" xfId="0" applyFont="1" applyFill="1" applyBorder="1" applyAlignment="1" applyProtection="1">
      <alignment wrapText="1"/>
      <protection locked="0"/>
    </xf>
    <xf numFmtId="0" fontId="23" fillId="2" borderId="14" xfId="0" applyFont="1" applyFill="1" applyBorder="1" applyAlignment="1" applyProtection="1">
      <alignment horizontal="center" vertical="center" wrapText="1"/>
      <protection locked="0"/>
    </xf>
    <xf numFmtId="0" fontId="33" fillId="0" borderId="0" xfId="0" applyFont="1" applyAlignment="1"/>
    <xf numFmtId="0" fontId="55" fillId="2" borderId="14" xfId="0" applyFont="1" applyFill="1" applyBorder="1" applyAlignment="1" applyProtection="1">
      <alignment horizontal="center" vertical="center" wrapText="1"/>
      <protection locked="0"/>
    </xf>
    <xf numFmtId="0" fontId="23" fillId="2" borderId="15" xfId="0" applyFont="1" applyFill="1" applyBorder="1" applyAlignment="1" applyProtection="1">
      <alignment horizontal="center" vertical="center" wrapText="1"/>
      <protection locked="0"/>
    </xf>
    <xf numFmtId="0" fontId="59" fillId="22" borderId="14" xfId="0" applyFont="1" applyFill="1" applyBorder="1" applyAlignment="1" applyProtection="1">
      <alignment horizontal="left" vertical="center" wrapText="1"/>
      <protection locked="0"/>
    </xf>
    <xf numFmtId="0" fontId="23" fillId="22" borderId="14" xfId="0" applyFont="1" applyFill="1" applyBorder="1" applyAlignment="1" applyProtection="1">
      <alignment horizontal="left" wrapText="1" indent="1"/>
      <protection locked="0"/>
    </xf>
    <xf numFmtId="0" fontId="59" fillId="22" borderId="14" xfId="0" applyFont="1" applyFill="1" applyBorder="1" applyAlignment="1" applyProtection="1">
      <alignment horizontal="left" wrapText="1" indent="1"/>
      <protection locked="0"/>
    </xf>
    <xf numFmtId="0" fontId="60" fillId="22" borderId="14" xfId="0" applyFont="1" applyFill="1" applyBorder="1" applyAlignment="1" applyProtection="1">
      <alignment horizontal="left" wrapText="1" indent="1"/>
      <protection locked="0"/>
    </xf>
    <xf numFmtId="0" fontId="32" fillId="2" borderId="20" xfId="0" applyFont="1" applyFill="1" applyBorder="1" applyAlignment="1">
      <alignment horizontal="center"/>
    </xf>
    <xf numFmtId="0" fontId="32" fillId="2" borderId="22" xfId="0" applyFont="1" applyFill="1" applyBorder="1" applyAlignment="1">
      <alignment horizontal="center"/>
    </xf>
    <xf numFmtId="0" fontId="32" fillId="2" borderId="20" xfId="0" applyFont="1" applyFill="1" applyBorder="1" applyAlignment="1">
      <alignment horizontal="center" vertical="center"/>
    </xf>
    <xf numFmtId="0" fontId="32" fillId="2" borderId="21" xfId="0" applyFont="1" applyFill="1" applyBorder="1" applyAlignment="1">
      <alignment horizontal="center" vertical="center"/>
    </xf>
    <xf numFmtId="0" fontId="32" fillId="2" borderId="22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/>
    </xf>
    <xf numFmtId="0" fontId="13" fillId="2" borderId="21" xfId="0" applyFont="1" applyFill="1" applyBorder="1" applyAlignment="1">
      <alignment horizontal="left"/>
    </xf>
    <xf numFmtId="0" fontId="13" fillId="2" borderId="22" xfId="0" applyFont="1" applyFill="1" applyBorder="1" applyAlignment="1">
      <alignment horizontal="left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13" fillId="3" borderId="0" xfId="0" applyFont="1" applyFill="1" applyAlignment="1">
      <alignment horizontal="right" vertical="center"/>
    </xf>
    <xf numFmtId="0" fontId="25" fillId="2" borderId="0" xfId="34" applyFont="1" applyFill="1" applyAlignment="1" applyProtection="1">
      <alignment horizontal="right" vertical="center"/>
    </xf>
    <xf numFmtId="14" fontId="13" fillId="2" borderId="2" xfId="0" applyNumberFormat="1" applyFont="1" applyFill="1" applyBorder="1" applyAlignment="1" applyProtection="1">
      <alignment horizontal="center" vertical="center"/>
      <protection locked="0"/>
    </xf>
    <xf numFmtId="0" fontId="13" fillId="2" borderId="2" xfId="0" applyFont="1" applyFill="1" applyBorder="1" applyAlignment="1" applyProtection="1">
      <alignment horizontal="left"/>
      <protection locked="0"/>
    </xf>
    <xf numFmtId="14" fontId="13" fillId="2" borderId="10" xfId="0" applyNumberFormat="1" applyFont="1" applyFill="1" applyBorder="1" applyAlignment="1" applyProtection="1">
      <alignment horizontal="left"/>
      <protection locked="0"/>
    </xf>
    <xf numFmtId="166" fontId="13" fillId="2" borderId="16" xfId="0" applyNumberFormat="1" applyFont="1" applyFill="1" applyBorder="1" applyAlignment="1">
      <alignment horizontal="center" vertical="center" textRotation="90"/>
    </xf>
    <xf numFmtId="166" fontId="13" fillId="2" borderId="2" xfId="0" applyNumberFormat="1" applyFont="1" applyFill="1" applyBorder="1" applyAlignment="1">
      <alignment horizontal="center" vertical="center" textRotation="90"/>
    </xf>
    <xf numFmtId="166" fontId="13" fillId="2" borderId="17" xfId="0" applyNumberFormat="1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6" fillId="4" borderId="1" xfId="0" applyFont="1" applyFill="1" applyBorder="1" applyAlignment="1"/>
    <xf numFmtId="0" fontId="0" fillId="0" borderId="2" xfId="0" applyBorder="1" applyAlignment="1"/>
    <xf numFmtId="164" fontId="10" fillId="0" borderId="1" xfId="0" applyNumberFormat="1" applyFont="1" applyFill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0" fontId="6" fillId="0" borderId="1" xfId="0" applyFont="1" applyBorder="1" applyAlignment="1"/>
    <xf numFmtId="0" fontId="8" fillId="3" borderId="3" xfId="0" applyFont="1" applyFill="1" applyBorder="1" applyAlignment="1">
      <alignment horizontal="center" vertical="top" wrapText="1"/>
    </xf>
    <xf numFmtId="0" fontId="8" fillId="3" borderId="0" xfId="0" applyFont="1" applyFill="1" applyBorder="1" applyAlignment="1">
      <alignment horizontal="center"/>
    </xf>
    <xf numFmtId="0" fontId="0" fillId="0" borderId="0" xfId="0" applyAlignment="1"/>
    <xf numFmtId="0" fontId="9" fillId="3" borderId="6" xfId="0" applyFont="1" applyFill="1" applyBorder="1" applyAlignment="1"/>
    <xf numFmtId="0" fontId="5" fillId="4" borderId="9" xfId="0" applyFont="1" applyFill="1" applyBorder="1" applyAlignment="1">
      <alignment horizontal="left" indent="2"/>
    </xf>
    <xf numFmtId="0" fontId="0" fillId="0" borderId="10" xfId="0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6" fillId="0" borderId="1" xfId="0" applyFont="1" applyFill="1" applyBorder="1" applyAlignment="1">
      <alignment horizontal="left" indent="3"/>
    </xf>
    <xf numFmtId="0" fontId="6" fillId="0" borderId="1" xfId="0" applyFont="1" applyFill="1" applyBorder="1" applyAlignment="1">
      <alignment horizontal="left" indent="1"/>
    </xf>
    <xf numFmtId="0" fontId="0" fillId="4" borderId="7" xfId="0" applyFill="1" applyBorder="1" applyAlignment="1"/>
    <xf numFmtId="0" fontId="0" fillId="4" borderId="8" xfId="0" applyFill="1" applyBorder="1" applyAlignment="1"/>
    <xf numFmtId="0" fontId="0" fillId="4" borderId="12" xfId="0" applyFill="1" applyBorder="1" applyAlignment="1"/>
    <xf numFmtId="0" fontId="8" fillId="3" borderId="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4" borderId="4" xfId="0" applyFont="1" applyFill="1" applyBorder="1" applyAlignment="1"/>
    <xf numFmtId="0" fontId="7" fillId="0" borderId="5" xfId="0" applyFont="1" applyBorder="1" applyAlignment="1"/>
    <xf numFmtId="0" fontId="0" fillId="4" borderId="1" xfId="0" applyFill="1" applyBorder="1" applyAlignment="1"/>
    <xf numFmtId="0" fontId="6" fillId="0" borderId="1" xfId="0" applyFont="1" applyFill="1" applyBorder="1" applyAlignment="1">
      <alignment horizontal="left" indent="4"/>
    </xf>
    <xf numFmtId="0" fontId="5" fillId="4" borderId="9" xfId="0" applyFont="1" applyFill="1" applyBorder="1" applyAlignment="1">
      <alignment horizontal="left" indent="1"/>
    </xf>
    <xf numFmtId="0" fontId="0" fillId="0" borderId="10" xfId="0" applyBorder="1" applyAlignment="1"/>
    <xf numFmtId="0" fontId="0" fillId="0" borderId="11" xfId="0" applyBorder="1" applyAlignment="1"/>
    <xf numFmtId="0" fontId="9" fillId="3" borderId="9" xfId="0" applyFont="1" applyFill="1" applyBorder="1" applyAlignment="1"/>
    <xf numFmtId="0" fontId="5" fillId="4" borderId="1" xfId="0" applyFont="1" applyFill="1" applyBorder="1" applyAlignment="1">
      <alignment horizontal="left" indent="2"/>
    </xf>
    <xf numFmtId="0" fontId="0" fillId="0" borderId="1" xfId="0" applyBorder="1" applyAlignment="1">
      <alignment horizontal="left" indent="1"/>
    </xf>
    <xf numFmtId="0" fontId="8" fillId="3" borderId="13" xfId="0" applyFont="1" applyFill="1" applyBorder="1" applyAlignment="1"/>
    <xf numFmtId="0" fontId="0" fillId="0" borderId="13" xfId="0" applyBorder="1" applyAlignment="1"/>
    <xf numFmtId="0" fontId="5" fillId="4" borderId="1" xfId="0" applyFont="1" applyFill="1" applyBorder="1" applyAlignment="1"/>
    <xf numFmtId="0" fontId="7" fillId="0" borderId="1" xfId="0" applyFont="1" applyBorder="1" applyAlignment="1"/>
    <xf numFmtId="0" fontId="0" fillId="0" borderId="1" xfId="0" applyBorder="1" applyAlignment="1"/>
    <xf numFmtId="0" fontId="5" fillId="4" borderId="1" xfId="0" applyFont="1" applyFill="1" applyBorder="1" applyAlignment="1">
      <alignment horizontal="left"/>
    </xf>
    <xf numFmtId="0" fontId="5" fillId="0" borderId="1" xfId="0" applyFont="1" applyFill="1" applyBorder="1" applyAlignment="1"/>
    <xf numFmtId="0" fontId="0" fillId="0" borderId="1" xfId="0" applyFont="1" applyFill="1" applyBorder="1" applyAlignment="1"/>
    <xf numFmtId="0" fontId="3" fillId="3" borderId="1" xfId="0" applyFont="1" applyFill="1" applyBorder="1" applyAlignment="1">
      <alignment horizontal="center"/>
    </xf>
  </cellXfs>
  <cellStyles count="45">
    <cellStyle name="20% - 强调文字颜色 1" xfId="5"/>
    <cellStyle name="20% - 强调文字颜色 2" xfId="3"/>
    <cellStyle name="20% - 强调文字颜色 3" xfId="7"/>
    <cellStyle name="20% - 强调文字颜色 4" xfId="8"/>
    <cellStyle name="20% - 强调文字颜色 5" xfId="10"/>
    <cellStyle name="20% - 强调文字颜色 6" xfId="13"/>
    <cellStyle name="40% - 强调文字颜色 1" xfId="14"/>
    <cellStyle name="40% - 强调文字颜色 2" xfId="15"/>
    <cellStyle name="40% - 强调文字颜色 3" xfId="17"/>
    <cellStyle name="40% - 强调文字颜色 4" xfId="19"/>
    <cellStyle name="40% - 强调文字颜色 5" xfId="20"/>
    <cellStyle name="40% - 强调文字颜色 6" xfId="21"/>
    <cellStyle name="60% - 强调文字颜色 1" xfId="23"/>
    <cellStyle name="60% - 强调文字颜色 2" xfId="26"/>
    <cellStyle name="60% - 强调文字颜色 3" xfId="27"/>
    <cellStyle name="60% - 强调文字颜色 4" xfId="29"/>
    <cellStyle name="60% - 强调文字颜色 5" xfId="30"/>
    <cellStyle name="60% - 强调文字颜色 6" xfId="31"/>
    <cellStyle name="Hyperlink" xfId="34" builtinId="8"/>
    <cellStyle name="Normal" xfId="0" builtinId="0"/>
    <cellStyle name="Normal 2" xfId="18"/>
    <cellStyle name="Percent" xfId="2" builtinId="5"/>
    <cellStyle name="好" xfId="35"/>
    <cellStyle name="差" xfId="16"/>
    <cellStyle name="强调文字颜色 1" xfId="9"/>
    <cellStyle name="强调文字颜色 2" xfId="11"/>
    <cellStyle name="强调文字颜色 3" xfId="40"/>
    <cellStyle name="强调文字颜色 4" xfId="1"/>
    <cellStyle name="强调文字颜色 5" xfId="41"/>
    <cellStyle name="强调文字颜色 6" xfId="42"/>
    <cellStyle name="标题" xfId="4"/>
    <cellStyle name="标题 1" xfId="32"/>
    <cellStyle name="标题 2" xfId="33"/>
    <cellStyle name="标题 3" xfId="22"/>
    <cellStyle name="标题 4" xfId="25"/>
    <cellStyle name="检查单元格" xfId="38"/>
    <cellStyle name="汇总" xfId="36"/>
    <cellStyle name="注释" xfId="44"/>
    <cellStyle name="解释性文本" xfId="39"/>
    <cellStyle name="警告文本" xfId="24"/>
    <cellStyle name="计算" xfId="37"/>
    <cellStyle name="输入" xfId="6"/>
    <cellStyle name="输出" xfId="28"/>
    <cellStyle name="适中" xfId="43"/>
    <cellStyle name="链接单元格" xfId="12"/>
  </cellStyles>
  <dxfs count="96"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63"/>
        </patternFill>
      </fill>
    </dxf>
    <dxf>
      <fill>
        <patternFill>
          <fgColor indexed="10"/>
          <bgColor indexed="40"/>
        </patternFill>
      </fill>
    </dxf>
    <dxf>
      <fill>
        <patternFill>
          <fgColor indexed="10"/>
          <bgColor indexed="10"/>
        </patternFill>
      </fill>
    </dxf>
    <dxf>
      <fill>
        <patternFill>
          <fgColor indexed="10"/>
          <bgColor indexed="23"/>
        </patternFill>
      </fill>
    </dxf>
    <dxf>
      <fill>
        <patternFill>
          <fgColor indexed="10"/>
          <bgColor indexed="44"/>
        </patternFill>
      </fill>
    </dxf>
    <dxf>
      <fill>
        <patternFill>
          <fgColor indexed="10"/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FFFF"/>
      <rgbColor rgb="00CCFFCC"/>
      <rgbColor rgb="00FFFFD7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0C0C0"/>
      <rgbColor rgb="00003366"/>
      <rgbColor rgb="00339966"/>
      <rgbColor rgb="00003300"/>
      <rgbColor rgb="00333300"/>
      <rgbColor rgb="00993300"/>
      <rgbColor rgb="00993366"/>
      <rgbColor rgb="00333399"/>
      <rgbColor rgb="005F5F5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croll" dx="16" fmlaLink="$K$1" horiz="1" max="100" page="4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8</xdr:row>
          <xdr:rowOff>0</xdr:rowOff>
        </xdr:from>
        <xdr:to>
          <xdr:col>23</xdr:col>
          <xdr:colOff>114300</xdr:colOff>
          <xdr:row>8</xdr:row>
          <xdr:rowOff>161925</xdr:rowOff>
        </xdr:to>
        <xdr:sp macro="" textlink="">
          <xdr:nvSpPr>
            <xdr:cNvPr id="16385" name="Scroll Bar 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2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.DATAS/DocTemplate/Project_Templ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Data"/>
      <sheetName val="Minicharter"/>
      <sheetName val="Stoplight"/>
      <sheetName val="Budget"/>
      <sheetName val="CBA"/>
      <sheetName val="Risks"/>
      <sheetName val="Issues"/>
      <sheetName val="Action"/>
      <sheetName val="Miles"/>
      <sheetName val="WBS"/>
      <sheetName val="Roster"/>
      <sheetName val="R&amp;R"/>
      <sheetName val="RAM"/>
      <sheetName val="RCM"/>
      <sheetName val="A&amp;C"/>
      <sheetName val="Decision"/>
      <sheetName val="Comm"/>
      <sheetName val="Stake"/>
      <sheetName val="Expectations"/>
      <sheetName val="Chg Log"/>
      <sheetName val="Deliver"/>
      <sheetName val="PERT"/>
      <sheetName val="Delphi"/>
      <sheetName val="TimeSum"/>
      <sheetName val="Timesheet"/>
      <sheetName val="Size Est"/>
      <sheetName val="Res Load"/>
      <sheetName val="Qual Metrics"/>
    </sheetNames>
    <sheetDataSet>
      <sheetData sheetId="0"/>
      <sheetData sheetId="1">
        <row r="1">
          <cell r="B1" t="str">
            <v/>
          </cell>
        </row>
        <row r="2">
          <cell r="B2" t="str">
            <v/>
          </cell>
        </row>
        <row r="3">
          <cell r="B3" t="str">
            <v/>
          </cell>
        </row>
        <row r="5">
          <cell r="B5" t="str">
            <v/>
          </cell>
        </row>
        <row r="6">
          <cell r="B6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vertex42.com/ExcelTemplates/excel-gantt-cha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E4" sqref="E4"/>
    </sheetView>
  </sheetViews>
  <sheetFormatPr defaultColWidth="9.140625" defaultRowHeight="12.75"/>
  <cols>
    <col min="1" max="1" width="5.7109375" style="93" customWidth="1"/>
    <col min="2" max="4" width="13.5703125" style="93" customWidth="1"/>
    <col min="5" max="5" width="53.28515625" style="93" customWidth="1"/>
    <col min="6" max="6" width="16" style="93" customWidth="1"/>
    <col min="7" max="7" width="13.5703125" style="93" customWidth="1"/>
    <col min="8" max="16384" width="9.140625" style="93"/>
  </cols>
  <sheetData>
    <row r="1" spans="1:8" ht="182.25" customHeight="1">
      <c r="C1" s="94" t="s">
        <v>0</v>
      </c>
      <c r="D1" s="95"/>
      <c r="E1" s="95" t="s">
        <v>196</v>
      </c>
    </row>
    <row r="2" spans="1:8" ht="23.25" customHeight="1">
      <c r="F2" s="96"/>
      <c r="G2" s="97"/>
    </row>
    <row r="3" spans="1:8">
      <c r="B3" s="98" t="s">
        <v>1</v>
      </c>
    </row>
    <row r="4" spans="1:8" ht="14.25">
      <c r="B4" s="99" t="s">
        <v>2</v>
      </c>
      <c r="C4" s="100"/>
      <c r="D4" s="101" t="s">
        <v>3</v>
      </c>
      <c r="E4" s="102" t="s">
        <v>212</v>
      </c>
      <c r="F4" s="36"/>
      <c r="G4" s="36"/>
      <c r="H4" s="36"/>
    </row>
    <row r="5" spans="1:8" ht="14.25">
      <c r="B5" s="103" t="s">
        <v>4</v>
      </c>
      <c r="C5" s="104"/>
      <c r="D5" s="105" t="s">
        <v>5</v>
      </c>
      <c r="E5" s="102" t="s">
        <v>6</v>
      </c>
      <c r="F5" s="36"/>
      <c r="G5" s="36"/>
      <c r="H5" s="36"/>
    </row>
    <row r="6" spans="1:8" ht="14.25">
      <c r="C6" s="36"/>
      <c r="D6" s="36"/>
      <c r="E6" s="36"/>
      <c r="G6" s="36"/>
      <c r="H6" s="36"/>
    </row>
    <row r="7" spans="1:8" ht="14.25">
      <c r="A7" s="98" t="s">
        <v>7</v>
      </c>
      <c r="B7" s="36"/>
      <c r="C7" s="36"/>
      <c r="D7" s="36"/>
      <c r="E7" s="36"/>
      <c r="F7" s="36"/>
      <c r="H7" s="36"/>
    </row>
    <row r="8" spans="1:8" ht="14.25">
      <c r="A8" s="106" t="s">
        <v>8</v>
      </c>
      <c r="B8" s="101" t="s">
        <v>9</v>
      </c>
      <c r="C8" s="127" t="s">
        <v>10</v>
      </c>
      <c r="D8" s="128"/>
      <c r="E8" s="129"/>
      <c r="F8" s="101" t="s">
        <v>11</v>
      </c>
      <c r="H8" s="36"/>
    </row>
    <row r="9" spans="1:8" ht="14.25">
      <c r="A9" s="107"/>
      <c r="B9" s="108">
        <v>42063</v>
      </c>
      <c r="C9" s="130" t="s">
        <v>197</v>
      </c>
      <c r="D9" s="131"/>
      <c r="E9" s="132"/>
      <c r="F9" s="102" t="s">
        <v>198</v>
      </c>
      <c r="H9" s="36"/>
    </row>
    <row r="10" spans="1:8" ht="14.25" customHeight="1">
      <c r="A10" s="107"/>
      <c r="B10" s="107"/>
      <c r="C10" s="133"/>
      <c r="D10" s="134"/>
      <c r="E10" s="135"/>
      <c r="F10" s="107"/>
    </row>
    <row r="11" spans="1:8" ht="14.25">
      <c r="A11" s="107"/>
      <c r="B11" s="107"/>
      <c r="C11" s="107"/>
      <c r="D11" s="125"/>
      <c r="E11" s="126"/>
      <c r="F11" s="107"/>
    </row>
    <row r="12" spans="1:8" ht="14.25">
      <c r="A12" s="107"/>
      <c r="B12" s="107"/>
      <c r="C12" s="107"/>
      <c r="D12" s="125"/>
      <c r="E12" s="126"/>
      <c r="F12" s="107"/>
    </row>
    <row r="13" spans="1:8" ht="14.25">
      <c r="A13" s="107"/>
      <c r="B13" s="107"/>
      <c r="C13" s="107"/>
      <c r="D13" s="125"/>
      <c r="E13" s="126"/>
      <c r="F13" s="107"/>
    </row>
    <row r="14" spans="1:8" ht="14.25">
      <c r="A14" s="107"/>
      <c r="B14" s="107"/>
      <c r="C14" s="107"/>
      <c r="D14" s="125"/>
      <c r="E14" s="126"/>
      <c r="F14" s="107"/>
    </row>
    <row r="15" spans="1:8" ht="14.25">
      <c r="A15" s="107"/>
      <c r="B15" s="107"/>
      <c r="C15" s="107"/>
      <c r="D15" s="125"/>
      <c r="E15" s="126"/>
      <c r="F15" s="107"/>
    </row>
  </sheetData>
  <mergeCells count="8">
    <mergeCell ref="D13:E13"/>
    <mergeCell ref="D14:E14"/>
    <mergeCell ref="D15:E15"/>
    <mergeCell ref="C8:E8"/>
    <mergeCell ref="C9:E9"/>
    <mergeCell ref="C10:E10"/>
    <mergeCell ref="D11:E11"/>
    <mergeCell ref="D12:E12"/>
  </mergeCells>
  <phoneticPr fontId="7" type="noConversion"/>
  <pageMargins left="0.69930555555555596" right="0.69930555555555596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V124"/>
  <sheetViews>
    <sheetView showGridLines="0" tabSelected="1" topLeftCell="A4" workbookViewId="0">
      <pane xSplit="3" ySplit="7" topLeftCell="D59" activePane="bottomRight" state="frozen"/>
      <selection activeCell="A4" sqref="A4"/>
      <selection pane="topRight" activeCell="D4" sqref="D4"/>
      <selection pane="bottomLeft" activeCell="A11" sqref="A11"/>
      <selection pane="bottomRight" activeCell="C74" sqref="C74"/>
    </sheetView>
  </sheetViews>
  <sheetFormatPr defaultColWidth="9.140625" defaultRowHeight="14.25"/>
  <cols>
    <col min="1" max="1" width="7.42578125" style="36" customWidth="1"/>
    <col min="2" max="2" width="44.7109375" style="31" customWidth="1"/>
    <col min="3" max="3" width="21.42578125" style="37" customWidth="1"/>
    <col min="4" max="4" width="11.7109375" style="38" customWidth="1"/>
    <col min="5" max="5" width="12.28515625" style="38" customWidth="1"/>
    <col min="6" max="10" width="6.42578125" style="39" customWidth="1"/>
    <col min="11" max="11" width="6.42578125" style="31" customWidth="1"/>
    <col min="12" max="46" width="2.85546875" style="31" customWidth="1"/>
    <col min="47" max="123" width="1" style="31" customWidth="1"/>
    <col min="124" max="227" width="0.5703125" style="31" customWidth="1"/>
    <col min="228" max="249" width="0.5703125" style="36" customWidth="1"/>
    <col min="250" max="16384" width="9.140625" style="36"/>
  </cols>
  <sheetData>
    <row r="1" spans="1:256" s="31" customFormat="1" ht="35.25" customHeight="1">
      <c r="A1" s="40" t="s">
        <v>12</v>
      </c>
      <c r="B1" s="41"/>
      <c r="C1" s="42" t="s">
        <v>13</v>
      </c>
      <c r="D1" s="43"/>
      <c r="E1" s="44"/>
      <c r="F1" s="41"/>
      <c r="G1" s="136"/>
      <c r="H1" s="136"/>
      <c r="I1" s="136"/>
      <c r="J1" s="136"/>
      <c r="K1" s="75">
        <v>0</v>
      </c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  <c r="FH1" s="85"/>
      <c r="FI1" s="85"/>
      <c r="FJ1" s="85"/>
      <c r="FK1" s="85"/>
      <c r="FL1" s="85"/>
      <c r="FM1" s="85"/>
      <c r="FN1" s="85"/>
      <c r="FO1" s="85"/>
      <c r="FP1" s="85"/>
      <c r="FQ1" s="85"/>
      <c r="FR1" s="85"/>
      <c r="FS1" s="85"/>
      <c r="FT1" s="85"/>
      <c r="FU1" s="85"/>
      <c r="FV1" s="85"/>
      <c r="FW1" s="85"/>
      <c r="FX1" s="85"/>
      <c r="FY1" s="85"/>
      <c r="FZ1" s="85"/>
      <c r="GA1" s="85"/>
      <c r="GB1" s="85"/>
      <c r="GC1" s="85"/>
      <c r="GD1" s="85"/>
      <c r="GE1" s="85"/>
      <c r="GF1" s="85"/>
      <c r="GG1" s="85"/>
      <c r="GH1" s="85"/>
      <c r="GI1" s="85"/>
      <c r="GJ1" s="85"/>
      <c r="GK1" s="85"/>
      <c r="GL1" s="85"/>
      <c r="GM1" s="85"/>
      <c r="GN1" s="85"/>
      <c r="GO1" s="85"/>
      <c r="GP1" s="85"/>
      <c r="GQ1" s="85"/>
      <c r="GR1" s="85"/>
      <c r="GS1" s="85"/>
      <c r="GT1" s="85"/>
      <c r="GU1" s="85"/>
      <c r="GV1" s="85"/>
      <c r="GW1" s="85"/>
      <c r="GX1" s="85"/>
      <c r="GY1" s="85"/>
      <c r="GZ1" s="85"/>
      <c r="HA1" s="85"/>
      <c r="HB1" s="85"/>
      <c r="HC1" s="85"/>
      <c r="HD1" s="85"/>
      <c r="HE1" s="85"/>
      <c r="HF1" s="85"/>
      <c r="HG1" s="85"/>
      <c r="HH1" s="85"/>
      <c r="HI1" s="85"/>
      <c r="HJ1" s="85"/>
      <c r="HK1" s="85"/>
      <c r="HL1" s="85"/>
      <c r="HM1" s="85"/>
      <c r="HN1" s="85"/>
      <c r="HO1" s="85"/>
      <c r="HP1" s="85"/>
      <c r="HQ1" s="85"/>
      <c r="HR1" s="85"/>
      <c r="HS1" s="85"/>
      <c r="HT1" s="85"/>
      <c r="HU1" s="85"/>
      <c r="HV1" s="85"/>
      <c r="HW1" s="85"/>
      <c r="HX1" s="85"/>
      <c r="HY1" s="85"/>
      <c r="HZ1" s="85"/>
      <c r="IA1" s="85"/>
      <c r="IB1" s="85"/>
      <c r="IC1" s="85"/>
      <c r="ID1" s="85"/>
      <c r="IE1" s="85"/>
      <c r="IF1" s="85"/>
      <c r="IG1" s="85"/>
      <c r="IH1" s="85"/>
      <c r="II1" s="85"/>
      <c r="IJ1" s="85"/>
      <c r="IK1" s="85"/>
      <c r="IL1" s="85"/>
      <c r="IM1" s="85"/>
      <c r="IN1" s="85"/>
      <c r="IO1" s="85"/>
    </row>
    <row r="2" spans="1:256">
      <c r="B2" s="36"/>
      <c r="C2" s="45"/>
      <c r="D2" s="46"/>
      <c r="E2" s="46"/>
      <c r="F2" s="47"/>
      <c r="G2" s="47"/>
      <c r="H2" s="47"/>
      <c r="I2" s="137"/>
      <c r="J2" s="137"/>
    </row>
    <row r="3" spans="1:256" ht="15">
      <c r="A3" s="48" t="s">
        <v>14</v>
      </c>
      <c r="B3" s="49" t="str">
        <f>项目!E1</f>
        <v>病虫测报管理平台二期</v>
      </c>
      <c r="AL3" s="31" t="s">
        <v>15</v>
      </c>
    </row>
    <row r="4" spans="1:256">
      <c r="A4" s="50"/>
      <c r="G4" s="38" t="s">
        <v>16</v>
      </c>
      <c r="H4" s="138">
        <v>42073</v>
      </c>
      <c r="I4" s="138"/>
      <c r="J4" s="138"/>
      <c r="K4" s="31" t="str">
        <f>TEXT(H4,"dddd")</f>
        <v>Tuesday</v>
      </c>
    </row>
    <row r="5" spans="1:256">
      <c r="H5" s="51" t="s">
        <v>17</v>
      </c>
    </row>
    <row r="6" spans="1:256">
      <c r="B6" s="52" t="s">
        <v>18</v>
      </c>
      <c r="C6" s="139" t="s">
        <v>6</v>
      </c>
      <c r="D6" s="139"/>
      <c r="E6" s="139"/>
      <c r="IQ6" s="53" t="s">
        <v>20</v>
      </c>
    </row>
    <row r="7" spans="1:256">
      <c r="B7" s="52" t="s">
        <v>21</v>
      </c>
      <c r="C7" s="140">
        <v>42064</v>
      </c>
      <c r="D7" s="140"/>
      <c r="E7" s="38" t="str">
        <f>TEXT(C7,"dddd")</f>
        <v>Sunday</v>
      </c>
    </row>
    <row r="8" spans="1:256">
      <c r="B8" s="52" t="s">
        <v>22</v>
      </c>
      <c r="C8" s="140">
        <v>42083</v>
      </c>
      <c r="D8" s="140"/>
      <c r="E8" s="38" t="str">
        <f>TEXT(C8,"dddd")</f>
        <v>Friday</v>
      </c>
    </row>
    <row r="9" spans="1:256" s="31" customFormat="1">
      <c r="A9" s="53" t="s">
        <v>20</v>
      </c>
      <c r="C9" s="37"/>
      <c r="D9" s="38"/>
      <c r="E9" s="38"/>
      <c r="F9" s="54"/>
      <c r="G9" s="39"/>
      <c r="H9" s="39"/>
      <c r="I9" s="39"/>
      <c r="J9" s="77" t="s">
        <v>23</v>
      </c>
      <c r="K9" s="78">
        <v>2</v>
      </c>
      <c r="L9" s="79">
        <f>(C7-WEEKDAY(C7,1)+K9)+7*K1</f>
        <v>42065</v>
      </c>
      <c r="M9" s="80">
        <f>L9+1</f>
        <v>42066</v>
      </c>
      <c r="N9" s="80">
        <f t="shared" ref="N9:AS9" si="0">M9+1</f>
        <v>42067</v>
      </c>
      <c r="O9" s="80">
        <f t="shared" si="0"/>
        <v>42068</v>
      </c>
      <c r="P9" s="80">
        <f t="shared" si="0"/>
        <v>42069</v>
      </c>
      <c r="Q9" s="80">
        <f t="shared" si="0"/>
        <v>42070</v>
      </c>
      <c r="R9" s="80">
        <f t="shared" si="0"/>
        <v>42071</v>
      </c>
      <c r="S9" s="80">
        <f t="shared" si="0"/>
        <v>42072</v>
      </c>
      <c r="T9" s="80">
        <f t="shared" si="0"/>
        <v>42073</v>
      </c>
      <c r="U9" s="80">
        <f t="shared" si="0"/>
        <v>42074</v>
      </c>
      <c r="V9" s="80">
        <f t="shared" si="0"/>
        <v>42075</v>
      </c>
      <c r="W9" s="80">
        <f t="shared" si="0"/>
        <v>42076</v>
      </c>
      <c r="X9" s="80">
        <f t="shared" si="0"/>
        <v>42077</v>
      </c>
      <c r="Y9" s="80">
        <f t="shared" si="0"/>
        <v>42078</v>
      </c>
      <c r="Z9" s="80">
        <f t="shared" si="0"/>
        <v>42079</v>
      </c>
      <c r="AA9" s="80">
        <f t="shared" si="0"/>
        <v>42080</v>
      </c>
      <c r="AB9" s="80">
        <f t="shared" si="0"/>
        <v>42081</v>
      </c>
      <c r="AC9" s="80">
        <f t="shared" si="0"/>
        <v>42082</v>
      </c>
      <c r="AD9" s="80">
        <f t="shared" si="0"/>
        <v>42083</v>
      </c>
      <c r="AE9" s="80">
        <f t="shared" si="0"/>
        <v>42084</v>
      </c>
      <c r="AF9" s="80">
        <f t="shared" si="0"/>
        <v>42085</v>
      </c>
      <c r="AG9" s="80">
        <f t="shared" si="0"/>
        <v>42086</v>
      </c>
      <c r="AH9" s="80">
        <f t="shared" si="0"/>
        <v>42087</v>
      </c>
      <c r="AI9" s="80">
        <f t="shared" si="0"/>
        <v>42088</v>
      </c>
      <c r="AJ9" s="80">
        <f t="shared" si="0"/>
        <v>42089</v>
      </c>
      <c r="AK9" s="80">
        <f t="shared" si="0"/>
        <v>42090</v>
      </c>
      <c r="AL9" s="80">
        <f t="shared" si="0"/>
        <v>42091</v>
      </c>
      <c r="AM9" s="80">
        <f t="shared" si="0"/>
        <v>42092</v>
      </c>
      <c r="AN9" s="80">
        <f t="shared" si="0"/>
        <v>42093</v>
      </c>
      <c r="AO9" s="80">
        <f t="shared" si="0"/>
        <v>42094</v>
      </c>
      <c r="AP9" s="80">
        <f t="shared" si="0"/>
        <v>42095</v>
      </c>
      <c r="AQ9" s="80">
        <f t="shared" si="0"/>
        <v>42096</v>
      </c>
      <c r="AR9" s="80">
        <f t="shared" si="0"/>
        <v>42097</v>
      </c>
      <c r="AS9" s="80">
        <f t="shared" si="0"/>
        <v>42098</v>
      </c>
      <c r="AT9" s="80">
        <f t="shared" ref="AT9:BX9" si="1">AS9+1</f>
        <v>42099</v>
      </c>
      <c r="AU9" s="80">
        <f t="shared" si="1"/>
        <v>42100</v>
      </c>
      <c r="AV9" s="80">
        <f t="shared" si="1"/>
        <v>42101</v>
      </c>
      <c r="AW9" s="80">
        <f t="shared" si="1"/>
        <v>42102</v>
      </c>
      <c r="AX9" s="80">
        <f t="shared" si="1"/>
        <v>42103</v>
      </c>
      <c r="AY9" s="80">
        <f t="shared" si="1"/>
        <v>42104</v>
      </c>
      <c r="AZ9" s="80">
        <f t="shared" si="1"/>
        <v>42105</v>
      </c>
      <c r="BA9" s="80">
        <f t="shared" si="1"/>
        <v>42106</v>
      </c>
      <c r="BB9" s="80">
        <f t="shared" si="1"/>
        <v>42107</v>
      </c>
      <c r="BC9" s="80">
        <f t="shared" si="1"/>
        <v>42108</v>
      </c>
      <c r="BD9" s="80">
        <f t="shared" si="1"/>
        <v>42109</v>
      </c>
      <c r="BE9" s="80">
        <f t="shared" si="1"/>
        <v>42110</v>
      </c>
      <c r="BF9" s="80">
        <f t="shared" si="1"/>
        <v>42111</v>
      </c>
      <c r="BG9" s="80">
        <f t="shared" si="1"/>
        <v>42112</v>
      </c>
      <c r="BH9" s="80">
        <f t="shared" si="1"/>
        <v>42113</v>
      </c>
      <c r="BI9" s="80">
        <f t="shared" si="1"/>
        <v>42114</v>
      </c>
      <c r="BJ9" s="80">
        <f t="shared" si="1"/>
        <v>42115</v>
      </c>
      <c r="BK9" s="80">
        <f t="shared" si="1"/>
        <v>42116</v>
      </c>
      <c r="BL9" s="80">
        <f t="shared" si="1"/>
        <v>42117</v>
      </c>
      <c r="BM9" s="80">
        <f t="shared" si="1"/>
        <v>42118</v>
      </c>
      <c r="BN9" s="80">
        <f t="shared" si="1"/>
        <v>42119</v>
      </c>
      <c r="BO9" s="80">
        <f t="shared" si="1"/>
        <v>42120</v>
      </c>
      <c r="BP9" s="80">
        <f t="shared" si="1"/>
        <v>42121</v>
      </c>
      <c r="BQ9" s="80">
        <f t="shared" si="1"/>
        <v>42122</v>
      </c>
      <c r="BR9" s="80">
        <f t="shared" si="1"/>
        <v>42123</v>
      </c>
      <c r="BS9" s="80">
        <f t="shared" si="1"/>
        <v>42124</v>
      </c>
      <c r="BT9" s="80">
        <f t="shared" si="1"/>
        <v>42125</v>
      </c>
      <c r="BU9" s="80">
        <f t="shared" si="1"/>
        <v>42126</v>
      </c>
      <c r="BV9" s="80">
        <f t="shared" si="1"/>
        <v>42127</v>
      </c>
      <c r="BW9" s="80">
        <f t="shared" si="1"/>
        <v>42128</v>
      </c>
      <c r="BX9" s="80">
        <f t="shared" si="1"/>
        <v>42129</v>
      </c>
      <c r="BY9" s="80">
        <f>BX9+1</f>
        <v>42130</v>
      </c>
      <c r="BZ9" s="80">
        <f t="shared" ref="BZ9:DE9" si="2">BY9+1</f>
        <v>42131</v>
      </c>
      <c r="CA9" s="80">
        <f t="shared" si="2"/>
        <v>42132</v>
      </c>
      <c r="CB9" s="80">
        <f t="shared" si="2"/>
        <v>42133</v>
      </c>
      <c r="CC9" s="80">
        <f t="shared" si="2"/>
        <v>42134</v>
      </c>
      <c r="CD9" s="80">
        <f t="shared" si="2"/>
        <v>42135</v>
      </c>
      <c r="CE9" s="80">
        <f t="shared" si="2"/>
        <v>42136</v>
      </c>
      <c r="CF9" s="80">
        <f t="shared" si="2"/>
        <v>42137</v>
      </c>
      <c r="CG9" s="80">
        <f t="shared" si="2"/>
        <v>42138</v>
      </c>
      <c r="CH9" s="80">
        <f t="shared" si="2"/>
        <v>42139</v>
      </c>
      <c r="CI9" s="80">
        <f t="shared" si="2"/>
        <v>42140</v>
      </c>
      <c r="CJ9" s="80">
        <f t="shared" si="2"/>
        <v>42141</v>
      </c>
      <c r="CK9" s="80">
        <f t="shared" si="2"/>
        <v>42142</v>
      </c>
      <c r="CL9" s="80">
        <f t="shared" si="2"/>
        <v>42143</v>
      </c>
      <c r="CM9" s="80">
        <f t="shared" si="2"/>
        <v>42144</v>
      </c>
      <c r="CN9" s="80">
        <f t="shared" si="2"/>
        <v>42145</v>
      </c>
      <c r="CO9" s="80">
        <f t="shared" si="2"/>
        <v>42146</v>
      </c>
      <c r="CP9" s="80">
        <f t="shared" si="2"/>
        <v>42147</v>
      </c>
      <c r="CQ9" s="80">
        <f t="shared" si="2"/>
        <v>42148</v>
      </c>
      <c r="CR9" s="80">
        <f t="shared" si="2"/>
        <v>42149</v>
      </c>
      <c r="CS9" s="80">
        <f t="shared" si="2"/>
        <v>42150</v>
      </c>
      <c r="CT9" s="80">
        <f t="shared" si="2"/>
        <v>42151</v>
      </c>
      <c r="CU9" s="80">
        <f t="shared" si="2"/>
        <v>42152</v>
      </c>
      <c r="CV9" s="80">
        <f t="shared" si="2"/>
        <v>42153</v>
      </c>
      <c r="CW9" s="80">
        <f t="shared" si="2"/>
        <v>42154</v>
      </c>
      <c r="CX9" s="80">
        <f t="shared" si="2"/>
        <v>42155</v>
      </c>
      <c r="CY9" s="80">
        <f t="shared" si="2"/>
        <v>42156</v>
      </c>
      <c r="CZ9" s="80">
        <f t="shared" si="2"/>
        <v>42157</v>
      </c>
      <c r="DA9" s="80">
        <f t="shared" si="2"/>
        <v>42158</v>
      </c>
      <c r="DB9" s="80">
        <f t="shared" si="2"/>
        <v>42159</v>
      </c>
      <c r="DC9" s="80">
        <f t="shared" si="2"/>
        <v>42160</v>
      </c>
      <c r="DD9" s="80">
        <f t="shared" si="2"/>
        <v>42161</v>
      </c>
      <c r="DE9" s="80">
        <f t="shared" si="2"/>
        <v>42162</v>
      </c>
      <c r="DF9" s="80">
        <f t="shared" ref="DF9:EJ9" si="3">DE9+1</f>
        <v>42163</v>
      </c>
      <c r="DG9" s="80">
        <f t="shared" si="3"/>
        <v>42164</v>
      </c>
      <c r="DH9" s="80">
        <f t="shared" si="3"/>
        <v>42165</v>
      </c>
      <c r="DI9" s="80">
        <f t="shared" si="3"/>
        <v>42166</v>
      </c>
      <c r="DJ9" s="80">
        <f t="shared" si="3"/>
        <v>42167</v>
      </c>
      <c r="DK9" s="80">
        <f t="shared" si="3"/>
        <v>42168</v>
      </c>
      <c r="DL9" s="80">
        <f t="shared" si="3"/>
        <v>42169</v>
      </c>
      <c r="DM9" s="80">
        <f t="shared" si="3"/>
        <v>42170</v>
      </c>
      <c r="DN9" s="80">
        <f t="shared" si="3"/>
        <v>42171</v>
      </c>
      <c r="DO9" s="80">
        <f t="shared" si="3"/>
        <v>42172</v>
      </c>
      <c r="DP9" s="80">
        <f t="shared" si="3"/>
        <v>42173</v>
      </c>
      <c r="DQ9" s="80">
        <f t="shared" si="3"/>
        <v>42174</v>
      </c>
      <c r="DR9" s="80">
        <f t="shared" si="3"/>
        <v>42175</v>
      </c>
      <c r="DS9" s="80">
        <f t="shared" si="3"/>
        <v>42176</v>
      </c>
      <c r="DT9" s="80">
        <f t="shared" si="3"/>
        <v>42177</v>
      </c>
      <c r="DU9" s="80">
        <f t="shared" si="3"/>
        <v>42178</v>
      </c>
      <c r="DV9" s="80">
        <f t="shared" si="3"/>
        <v>42179</v>
      </c>
      <c r="DW9" s="80">
        <f t="shared" si="3"/>
        <v>42180</v>
      </c>
      <c r="DX9" s="80">
        <f t="shared" si="3"/>
        <v>42181</v>
      </c>
      <c r="DY9" s="80">
        <f t="shared" si="3"/>
        <v>42182</v>
      </c>
      <c r="DZ9" s="80">
        <f t="shared" si="3"/>
        <v>42183</v>
      </c>
      <c r="EA9" s="80">
        <f t="shared" si="3"/>
        <v>42184</v>
      </c>
      <c r="EB9" s="80">
        <f t="shared" si="3"/>
        <v>42185</v>
      </c>
      <c r="EC9" s="80">
        <f t="shared" si="3"/>
        <v>42186</v>
      </c>
      <c r="ED9" s="80">
        <f t="shared" si="3"/>
        <v>42187</v>
      </c>
      <c r="EE9" s="80">
        <f t="shared" si="3"/>
        <v>42188</v>
      </c>
      <c r="EF9" s="80">
        <f t="shared" si="3"/>
        <v>42189</v>
      </c>
      <c r="EG9" s="80">
        <f t="shared" si="3"/>
        <v>42190</v>
      </c>
      <c r="EH9" s="80">
        <f t="shared" si="3"/>
        <v>42191</v>
      </c>
      <c r="EI9" s="80">
        <f t="shared" si="3"/>
        <v>42192</v>
      </c>
      <c r="EJ9" s="80">
        <f t="shared" si="3"/>
        <v>42193</v>
      </c>
      <c r="EK9" s="80">
        <f>EJ9+1</f>
        <v>42194</v>
      </c>
      <c r="EL9" s="80">
        <f t="shared" ref="EL9:FQ9" si="4">EK9+1</f>
        <v>42195</v>
      </c>
      <c r="EM9" s="80">
        <f t="shared" si="4"/>
        <v>42196</v>
      </c>
      <c r="EN9" s="80">
        <f t="shared" si="4"/>
        <v>42197</v>
      </c>
      <c r="EO9" s="80">
        <f t="shared" si="4"/>
        <v>42198</v>
      </c>
      <c r="EP9" s="80">
        <f t="shared" si="4"/>
        <v>42199</v>
      </c>
      <c r="EQ9" s="80">
        <f t="shared" si="4"/>
        <v>42200</v>
      </c>
      <c r="ER9" s="80">
        <f t="shared" si="4"/>
        <v>42201</v>
      </c>
      <c r="ES9" s="80">
        <f t="shared" si="4"/>
        <v>42202</v>
      </c>
      <c r="ET9" s="80">
        <f t="shared" si="4"/>
        <v>42203</v>
      </c>
      <c r="EU9" s="80">
        <f t="shared" si="4"/>
        <v>42204</v>
      </c>
      <c r="EV9" s="80">
        <f t="shared" si="4"/>
        <v>42205</v>
      </c>
      <c r="EW9" s="80">
        <f t="shared" si="4"/>
        <v>42206</v>
      </c>
      <c r="EX9" s="80">
        <f t="shared" si="4"/>
        <v>42207</v>
      </c>
      <c r="EY9" s="80">
        <f t="shared" si="4"/>
        <v>42208</v>
      </c>
      <c r="EZ9" s="80">
        <f t="shared" si="4"/>
        <v>42209</v>
      </c>
      <c r="FA9" s="80">
        <f t="shared" si="4"/>
        <v>42210</v>
      </c>
      <c r="FB9" s="80">
        <f t="shared" si="4"/>
        <v>42211</v>
      </c>
      <c r="FC9" s="80">
        <f t="shared" si="4"/>
        <v>42212</v>
      </c>
      <c r="FD9" s="80">
        <f t="shared" si="4"/>
        <v>42213</v>
      </c>
      <c r="FE9" s="80">
        <f t="shared" si="4"/>
        <v>42214</v>
      </c>
      <c r="FF9" s="80">
        <f t="shared" si="4"/>
        <v>42215</v>
      </c>
      <c r="FG9" s="80">
        <f t="shared" si="4"/>
        <v>42216</v>
      </c>
      <c r="FH9" s="80">
        <f t="shared" si="4"/>
        <v>42217</v>
      </c>
      <c r="FI9" s="80">
        <f t="shared" si="4"/>
        <v>42218</v>
      </c>
      <c r="FJ9" s="80">
        <f t="shared" si="4"/>
        <v>42219</v>
      </c>
      <c r="FK9" s="80">
        <f t="shared" si="4"/>
        <v>42220</v>
      </c>
      <c r="FL9" s="80">
        <f t="shared" si="4"/>
        <v>42221</v>
      </c>
      <c r="FM9" s="80">
        <f t="shared" si="4"/>
        <v>42222</v>
      </c>
      <c r="FN9" s="80">
        <f t="shared" si="4"/>
        <v>42223</v>
      </c>
      <c r="FO9" s="80">
        <f t="shared" si="4"/>
        <v>42224</v>
      </c>
      <c r="FP9" s="80">
        <f t="shared" si="4"/>
        <v>42225</v>
      </c>
      <c r="FQ9" s="80">
        <f t="shared" si="4"/>
        <v>42226</v>
      </c>
      <c r="FR9" s="80">
        <f t="shared" ref="FR9:GV9" si="5">FQ9+1</f>
        <v>42227</v>
      </c>
      <c r="FS9" s="80">
        <f t="shared" si="5"/>
        <v>42228</v>
      </c>
      <c r="FT9" s="80">
        <f t="shared" si="5"/>
        <v>42229</v>
      </c>
      <c r="FU9" s="80">
        <f t="shared" si="5"/>
        <v>42230</v>
      </c>
      <c r="FV9" s="80">
        <f t="shared" si="5"/>
        <v>42231</v>
      </c>
      <c r="FW9" s="80">
        <f t="shared" si="5"/>
        <v>42232</v>
      </c>
      <c r="FX9" s="80">
        <f t="shared" si="5"/>
        <v>42233</v>
      </c>
      <c r="FY9" s="80">
        <f t="shared" si="5"/>
        <v>42234</v>
      </c>
      <c r="FZ9" s="80">
        <f t="shared" si="5"/>
        <v>42235</v>
      </c>
      <c r="GA9" s="80">
        <f t="shared" si="5"/>
        <v>42236</v>
      </c>
      <c r="GB9" s="80">
        <f t="shared" si="5"/>
        <v>42237</v>
      </c>
      <c r="GC9" s="80">
        <f t="shared" si="5"/>
        <v>42238</v>
      </c>
      <c r="GD9" s="80">
        <f t="shared" si="5"/>
        <v>42239</v>
      </c>
      <c r="GE9" s="80">
        <f t="shared" si="5"/>
        <v>42240</v>
      </c>
      <c r="GF9" s="80">
        <f t="shared" si="5"/>
        <v>42241</v>
      </c>
      <c r="GG9" s="80">
        <f t="shared" si="5"/>
        <v>42242</v>
      </c>
      <c r="GH9" s="80">
        <f t="shared" si="5"/>
        <v>42243</v>
      </c>
      <c r="GI9" s="80">
        <f t="shared" si="5"/>
        <v>42244</v>
      </c>
      <c r="GJ9" s="80">
        <f t="shared" si="5"/>
        <v>42245</v>
      </c>
      <c r="GK9" s="80">
        <f t="shared" si="5"/>
        <v>42246</v>
      </c>
      <c r="GL9" s="80">
        <f t="shared" si="5"/>
        <v>42247</v>
      </c>
      <c r="GM9" s="80">
        <f t="shared" si="5"/>
        <v>42248</v>
      </c>
      <c r="GN9" s="80">
        <f t="shared" si="5"/>
        <v>42249</v>
      </c>
      <c r="GO9" s="80">
        <f t="shared" si="5"/>
        <v>42250</v>
      </c>
      <c r="GP9" s="80">
        <f t="shared" si="5"/>
        <v>42251</v>
      </c>
      <c r="GQ9" s="80">
        <f t="shared" si="5"/>
        <v>42252</v>
      </c>
      <c r="GR9" s="80">
        <f t="shared" si="5"/>
        <v>42253</v>
      </c>
      <c r="GS9" s="80">
        <f t="shared" si="5"/>
        <v>42254</v>
      </c>
      <c r="GT9" s="80">
        <f t="shared" si="5"/>
        <v>42255</v>
      </c>
      <c r="GU9" s="80">
        <f t="shared" si="5"/>
        <v>42256</v>
      </c>
      <c r="GV9" s="80">
        <f t="shared" si="5"/>
        <v>42257</v>
      </c>
      <c r="GW9" s="80">
        <f>GV9+1</f>
        <v>42258</v>
      </c>
      <c r="GX9" s="80">
        <f t="shared" ref="GX9:IO9" si="6">GW9+1</f>
        <v>42259</v>
      </c>
      <c r="GY9" s="80">
        <f t="shared" si="6"/>
        <v>42260</v>
      </c>
      <c r="GZ9" s="80">
        <f t="shared" si="6"/>
        <v>42261</v>
      </c>
      <c r="HA9" s="80">
        <f t="shared" si="6"/>
        <v>42262</v>
      </c>
      <c r="HB9" s="80">
        <f t="shared" si="6"/>
        <v>42263</v>
      </c>
      <c r="HC9" s="80">
        <f t="shared" si="6"/>
        <v>42264</v>
      </c>
      <c r="HD9" s="80">
        <f t="shared" si="6"/>
        <v>42265</v>
      </c>
      <c r="HE9" s="80">
        <f t="shared" si="6"/>
        <v>42266</v>
      </c>
      <c r="HF9" s="80">
        <f t="shared" si="6"/>
        <v>42267</v>
      </c>
      <c r="HG9" s="80">
        <f t="shared" si="6"/>
        <v>42268</v>
      </c>
      <c r="HH9" s="80">
        <f t="shared" si="6"/>
        <v>42269</v>
      </c>
      <c r="HI9" s="80">
        <f t="shared" si="6"/>
        <v>42270</v>
      </c>
      <c r="HJ9" s="80">
        <f t="shared" si="6"/>
        <v>42271</v>
      </c>
      <c r="HK9" s="80">
        <f t="shared" si="6"/>
        <v>42272</v>
      </c>
      <c r="HL9" s="80">
        <f t="shared" si="6"/>
        <v>42273</v>
      </c>
      <c r="HM9" s="80">
        <f t="shared" si="6"/>
        <v>42274</v>
      </c>
      <c r="HN9" s="80">
        <f t="shared" si="6"/>
        <v>42275</v>
      </c>
      <c r="HO9" s="80">
        <f t="shared" si="6"/>
        <v>42276</v>
      </c>
      <c r="HP9" s="80">
        <f t="shared" si="6"/>
        <v>42277</v>
      </c>
      <c r="HQ9" s="80">
        <f t="shared" si="6"/>
        <v>42278</v>
      </c>
      <c r="HR9" s="80">
        <f t="shared" si="6"/>
        <v>42279</v>
      </c>
      <c r="HS9" s="80">
        <f t="shared" si="6"/>
        <v>42280</v>
      </c>
      <c r="HT9" s="80">
        <f t="shared" si="6"/>
        <v>42281</v>
      </c>
      <c r="HU9" s="80">
        <f t="shared" si="6"/>
        <v>42282</v>
      </c>
      <c r="HV9" s="80">
        <f t="shared" si="6"/>
        <v>42283</v>
      </c>
      <c r="HW9" s="80">
        <f t="shared" si="6"/>
        <v>42284</v>
      </c>
      <c r="HX9" s="80">
        <f t="shared" si="6"/>
        <v>42285</v>
      </c>
      <c r="HY9" s="80">
        <f t="shared" si="6"/>
        <v>42286</v>
      </c>
      <c r="HZ9" s="80">
        <f t="shared" si="6"/>
        <v>42287</v>
      </c>
      <c r="IA9" s="80">
        <f t="shared" si="6"/>
        <v>42288</v>
      </c>
      <c r="IB9" s="80">
        <f t="shared" si="6"/>
        <v>42289</v>
      </c>
      <c r="IC9" s="80">
        <f t="shared" si="6"/>
        <v>42290</v>
      </c>
      <c r="ID9" s="80">
        <f t="shared" si="6"/>
        <v>42291</v>
      </c>
      <c r="IE9" s="80">
        <f t="shared" si="6"/>
        <v>42292</v>
      </c>
      <c r="IF9" s="80">
        <f t="shared" si="6"/>
        <v>42293</v>
      </c>
      <c r="IG9" s="80">
        <f t="shared" si="6"/>
        <v>42294</v>
      </c>
      <c r="IH9" s="80">
        <f t="shared" si="6"/>
        <v>42295</v>
      </c>
      <c r="II9" s="80">
        <f t="shared" si="6"/>
        <v>42296</v>
      </c>
      <c r="IJ9" s="80">
        <f t="shared" si="6"/>
        <v>42297</v>
      </c>
      <c r="IK9" s="80">
        <f t="shared" si="6"/>
        <v>42298</v>
      </c>
      <c r="IL9" s="80">
        <f t="shared" si="6"/>
        <v>42299</v>
      </c>
      <c r="IM9" s="80">
        <f t="shared" si="6"/>
        <v>42300</v>
      </c>
      <c r="IN9" s="80">
        <f t="shared" si="6"/>
        <v>42301</v>
      </c>
      <c r="IO9" s="80">
        <f t="shared" si="6"/>
        <v>42302</v>
      </c>
      <c r="IP9" s="86"/>
      <c r="IQ9" s="36"/>
      <c r="IR9" s="36"/>
      <c r="IS9" s="36"/>
      <c r="IT9" s="36"/>
      <c r="IU9" s="36"/>
      <c r="IV9" s="36"/>
    </row>
    <row r="10" spans="1:256" s="32" customFormat="1" ht="65.25" customHeight="1">
      <c r="A10" s="55" t="s">
        <v>24</v>
      </c>
      <c r="B10" s="56" t="s">
        <v>25</v>
      </c>
      <c r="C10" s="57" t="s">
        <v>3</v>
      </c>
      <c r="D10" s="58" t="s">
        <v>2</v>
      </c>
      <c r="E10" s="58" t="s">
        <v>26</v>
      </c>
      <c r="F10" s="59" t="s">
        <v>27</v>
      </c>
      <c r="G10" s="60" t="s">
        <v>28</v>
      </c>
      <c r="H10" s="61" t="s">
        <v>29</v>
      </c>
      <c r="I10" s="81" t="s">
        <v>30</v>
      </c>
      <c r="J10" s="81" t="s">
        <v>31</v>
      </c>
      <c r="K10" s="81" t="s">
        <v>201</v>
      </c>
      <c r="L10" s="141">
        <f>L9</f>
        <v>42065</v>
      </c>
      <c r="M10" s="142"/>
      <c r="N10" s="142"/>
      <c r="O10" s="142"/>
      <c r="P10" s="142"/>
      <c r="Q10" s="142"/>
      <c r="R10" s="143"/>
      <c r="S10" s="141">
        <f>S9</f>
        <v>42072</v>
      </c>
      <c r="T10" s="142"/>
      <c r="U10" s="142"/>
      <c r="V10" s="142"/>
      <c r="W10" s="142"/>
      <c r="X10" s="142"/>
      <c r="Y10" s="143"/>
      <c r="Z10" s="141">
        <f>Z9</f>
        <v>42079</v>
      </c>
      <c r="AA10" s="142"/>
      <c r="AB10" s="142"/>
      <c r="AC10" s="142"/>
      <c r="AD10" s="142"/>
      <c r="AE10" s="142"/>
      <c r="AF10" s="143"/>
      <c r="AG10" s="141">
        <f>AG9</f>
        <v>42086</v>
      </c>
      <c r="AH10" s="142"/>
      <c r="AI10" s="142"/>
      <c r="AJ10" s="142"/>
      <c r="AK10" s="142"/>
      <c r="AL10" s="142"/>
      <c r="AM10" s="143"/>
      <c r="AN10" s="141">
        <f>AN9</f>
        <v>42093</v>
      </c>
      <c r="AO10" s="142"/>
      <c r="AP10" s="142"/>
      <c r="AQ10" s="142"/>
      <c r="AR10" s="142"/>
      <c r="AS10" s="142"/>
      <c r="AT10" s="143"/>
      <c r="AU10" s="141">
        <f>AU9</f>
        <v>42100</v>
      </c>
      <c r="AV10" s="142"/>
      <c r="AW10" s="142"/>
      <c r="AX10" s="142"/>
      <c r="AY10" s="142"/>
      <c r="AZ10" s="142"/>
      <c r="BA10" s="143"/>
      <c r="BB10" s="141">
        <f>BB9</f>
        <v>42107</v>
      </c>
      <c r="BC10" s="142"/>
      <c r="BD10" s="142"/>
      <c r="BE10" s="142"/>
      <c r="BF10" s="142"/>
      <c r="BG10" s="142"/>
      <c r="BH10" s="143"/>
      <c r="BI10" s="141">
        <f>BI9</f>
        <v>42114</v>
      </c>
      <c r="BJ10" s="142"/>
      <c r="BK10" s="142"/>
      <c r="BL10" s="142"/>
      <c r="BM10" s="142"/>
      <c r="BN10" s="142"/>
      <c r="BO10" s="143"/>
      <c r="BP10" s="141">
        <f>BP9</f>
        <v>42121</v>
      </c>
      <c r="BQ10" s="142"/>
      <c r="BR10" s="142"/>
      <c r="BS10" s="142"/>
      <c r="BT10" s="142"/>
      <c r="BU10" s="142"/>
      <c r="BV10" s="143"/>
      <c r="BW10" s="141">
        <f>BW9</f>
        <v>42128</v>
      </c>
      <c r="BX10" s="142"/>
      <c r="BY10" s="142"/>
      <c r="BZ10" s="142"/>
      <c r="CA10" s="142"/>
      <c r="CB10" s="142"/>
      <c r="CC10" s="143"/>
      <c r="CD10" s="141">
        <f>CD9</f>
        <v>42135</v>
      </c>
      <c r="CE10" s="142"/>
      <c r="CF10" s="142"/>
      <c r="CG10" s="142"/>
      <c r="CH10" s="142"/>
      <c r="CI10" s="142"/>
      <c r="CJ10" s="143"/>
      <c r="CK10" s="141">
        <f>CK9</f>
        <v>42142</v>
      </c>
      <c r="CL10" s="142"/>
      <c r="CM10" s="142"/>
      <c r="CN10" s="142"/>
      <c r="CO10" s="142"/>
      <c r="CP10" s="142"/>
      <c r="CQ10" s="143"/>
      <c r="CR10" s="141">
        <f>CR9</f>
        <v>42149</v>
      </c>
      <c r="CS10" s="142"/>
      <c r="CT10" s="142"/>
      <c r="CU10" s="142"/>
      <c r="CV10" s="142"/>
      <c r="CW10" s="142"/>
      <c r="CX10" s="143"/>
      <c r="CY10" s="141">
        <f>CY9</f>
        <v>42156</v>
      </c>
      <c r="CZ10" s="142"/>
      <c r="DA10" s="142"/>
      <c r="DB10" s="142"/>
      <c r="DC10" s="142"/>
      <c r="DD10" s="142"/>
      <c r="DE10" s="143"/>
      <c r="DF10" s="141">
        <f>DF9</f>
        <v>42163</v>
      </c>
      <c r="DG10" s="142"/>
      <c r="DH10" s="142"/>
      <c r="DI10" s="142"/>
      <c r="DJ10" s="142"/>
      <c r="DK10" s="142"/>
      <c r="DL10" s="143"/>
      <c r="DM10" s="141">
        <f>DM9</f>
        <v>42170</v>
      </c>
      <c r="DN10" s="142"/>
      <c r="DO10" s="142"/>
      <c r="DP10" s="142"/>
      <c r="DQ10" s="142"/>
      <c r="DR10" s="142"/>
      <c r="DS10" s="143"/>
      <c r="DT10" s="141">
        <f>DT9</f>
        <v>42177</v>
      </c>
      <c r="DU10" s="142"/>
      <c r="DV10" s="142"/>
      <c r="DW10" s="142"/>
      <c r="DX10" s="142"/>
      <c r="DY10" s="142"/>
      <c r="DZ10" s="143"/>
      <c r="EA10" s="141">
        <f>EA9</f>
        <v>42184</v>
      </c>
      <c r="EB10" s="142"/>
      <c r="EC10" s="142"/>
      <c r="ED10" s="142"/>
      <c r="EE10" s="142"/>
      <c r="EF10" s="142"/>
      <c r="EG10" s="143"/>
      <c r="EH10" s="141">
        <f>EH9</f>
        <v>42191</v>
      </c>
      <c r="EI10" s="142"/>
      <c r="EJ10" s="142"/>
      <c r="EK10" s="142"/>
      <c r="EL10" s="142"/>
      <c r="EM10" s="142"/>
      <c r="EN10" s="143"/>
      <c r="EO10" s="141">
        <f>EO9</f>
        <v>42198</v>
      </c>
      <c r="EP10" s="142"/>
      <c r="EQ10" s="142"/>
      <c r="ER10" s="142"/>
      <c r="ES10" s="142"/>
      <c r="ET10" s="142"/>
      <c r="EU10" s="143"/>
      <c r="EV10" s="141">
        <f>EV9</f>
        <v>42205</v>
      </c>
      <c r="EW10" s="142"/>
      <c r="EX10" s="142"/>
      <c r="EY10" s="142"/>
      <c r="EZ10" s="142"/>
      <c r="FA10" s="142"/>
      <c r="FB10" s="143"/>
      <c r="FC10" s="141">
        <f>FC9</f>
        <v>42212</v>
      </c>
      <c r="FD10" s="142"/>
      <c r="FE10" s="142"/>
      <c r="FF10" s="142"/>
      <c r="FG10" s="142"/>
      <c r="FH10" s="142"/>
      <c r="FI10" s="143"/>
      <c r="FJ10" s="141">
        <f>FJ9</f>
        <v>42219</v>
      </c>
      <c r="FK10" s="142"/>
      <c r="FL10" s="142"/>
      <c r="FM10" s="142"/>
      <c r="FN10" s="142"/>
      <c r="FO10" s="142"/>
      <c r="FP10" s="143"/>
      <c r="FQ10" s="141">
        <f>FQ9</f>
        <v>42226</v>
      </c>
      <c r="FR10" s="142"/>
      <c r="FS10" s="142"/>
      <c r="FT10" s="142"/>
      <c r="FU10" s="142"/>
      <c r="FV10" s="142"/>
      <c r="FW10" s="143"/>
      <c r="FX10" s="141">
        <f>FX9</f>
        <v>42233</v>
      </c>
      <c r="FY10" s="142"/>
      <c r="FZ10" s="142"/>
      <c r="GA10" s="142"/>
      <c r="GB10" s="142"/>
      <c r="GC10" s="142"/>
      <c r="GD10" s="143"/>
      <c r="GE10" s="141">
        <f>GE9</f>
        <v>42240</v>
      </c>
      <c r="GF10" s="142"/>
      <c r="GG10" s="142"/>
      <c r="GH10" s="142"/>
      <c r="GI10" s="142"/>
      <c r="GJ10" s="142"/>
      <c r="GK10" s="143"/>
      <c r="GL10" s="141">
        <f>GL9</f>
        <v>42247</v>
      </c>
      <c r="GM10" s="142"/>
      <c r="GN10" s="142"/>
      <c r="GO10" s="142"/>
      <c r="GP10" s="142"/>
      <c r="GQ10" s="142"/>
      <c r="GR10" s="143"/>
      <c r="GS10" s="141">
        <f>GS9</f>
        <v>42254</v>
      </c>
      <c r="GT10" s="142"/>
      <c r="GU10" s="142"/>
      <c r="GV10" s="142"/>
      <c r="GW10" s="142"/>
      <c r="GX10" s="142"/>
      <c r="GY10" s="143"/>
      <c r="GZ10" s="141">
        <f>GZ9</f>
        <v>42261</v>
      </c>
      <c r="HA10" s="142"/>
      <c r="HB10" s="142"/>
      <c r="HC10" s="142"/>
      <c r="HD10" s="142"/>
      <c r="HE10" s="142"/>
      <c r="HF10" s="143"/>
      <c r="HG10" s="141">
        <f>HG9</f>
        <v>42268</v>
      </c>
      <c r="HH10" s="142"/>
      <c r="HI10" s="142"/>
      <c r="HJ10" s="142"/>
      <c r="HK10" s="142"/>
      <c r="HL10" s="142"/>
      <c r="HM10" s="143"/>
      <c r="HN10" s="141">
        <f>HN9</f>
        <v>42275</v>
      </c>
      <c r="HO10" s="142"/>
      <c r="HP10" s="142"/>
      <c r="HQ10" s="142"/>
      <c r="HR10" s="142"/>
      <c r="HS10" s="142"/>
      <c r="HT10" s="143"/>
      <c r="HU10" s="141">
        <f>HU9</f>
        <v>42282</v>
      </c>
      <c r="HV10" s="142"/>
      <c r="HW10" s="142"/>
      <c r="HX10" s="142"/>
      <c r="HY10" s="142"/>
      <c r="HZ10" s="142"/>
      <c r="IA10" s="143"/>
      <c r="IB10" s="141">
        <f>IB9</f>
        <v>42289</v>
      </c>
      <c r="IC10" s="142"/>
      <c r="ID10" s="142"/>
      <c r="IE10" s="142"/>
      <c r="IF10" s="142"/>
      <c r="IG10" s="142"/>
      <c r="IH10" s="143"/>
      <c r="II10" s="141">
        <f>II9</f>
        <v>42296</v>
      </c>
      <c r="IJ10" s="142"/>
      <c r="IK10" s="142"/>
      <c r="IL10" s="142"/>
      <c r="IM10" s="142"/>
      <c r="IN10" s="142"/>
      <c r="IO10" s="143"/>
    </row>
    <row r="11" spans="1:256" s="33" customFormat="1" ht="16.5" customHeight="1">
      <c r="A11" s="62">
        <f ca="1">IF(ISERROR(VALUE(SUBSTITUTE(OFFSET(A11,-1,0,1,1),".",""))),1,IF(ISERROR(FIND("`",SUBSTITUTE(OFFSET(A11,-1,0,1,1),".","`",1))),VALUE(OFFSET(A11,-1,0,1,1))+1,VALUE(LEFT(OFFSET(A11,-1,0,1,1),FIND("`",SUBSTITUTE(OFFSET(A11,-1,0,1,1),".","`",1))-1))+1))</f>
        <v>1</v>
      </c>
      <c r="B11" s="112" t="s">
        <v>104</v>
      </c>
      <c r="C11" s="120" t="s">
        <v>32</v>
      </c>
      <c r="D11" s="63">
        <f>MIN(D12:D33)</f>
        <v>42064</v>
      </c>
      <c r="E11" s="63">
        <f t="shared" ref="E11:E44" si="7">D11+F11-1</f>
        <v>42082</v>
      </c>
      <c r="F11" s="64">
        <v>19</v>
      </c>
      <c r="G11" s="65">
        <f>SUMPRODUCT(F12:F51,G12:G51)/SUM(F12:F51)</f>
        <v>0.55668103448275874</v>
      </c>
      <c r="H11" s="64">
        <f>NETWORKDAYS(D11,E11)</f>
        <v>14</v>
      </c>
      <c r="I11" s="82">
        <f>ROUNDDOWN(G11*F11,0)</f>
        <v>10</v>
      </c>
      <c r="J11" s="64">
        <f>F11-I11</f>
        <v>9</v>
      </c>
      <c r="K11" s="83">
        <v>100</v>
      </c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3"/>
      <c r="CF11" s="83"/>
      <c r="CG11" s="83"/>
      <c r="CH11" s="83"/>
      <c r="CI11" s="83"/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3"/>
      <c r="DF11" s="83"/>
      <c r="DG11" s="83"/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3"/>
      <c r="EB11" s="83"/>
      <c r="EC11" s="83"/>
      <c r="ED11" s="83"/>
      <c r="EE11" s="83"/>
      <c r="EF11" s="83"/>
      <c r="EG11" s="83"/>
      <c r="EH11" s="83"/>
      <c r="EI11" s="83"/>
      <c r="EJ11" s="83"/>
      <c r="EK11" s="83"/>
      <c r="EL11" s="83"/>
      <c r="EM11" s="83"/>
      <c r="EN11" s="83"/>
      <c r="EO11" s="83"/>
      <c r="EP11" s="83"/>
      <c r="EQ11" s="83"/>
      <c r="ER11" s="83"/>
      <c r="ES11" s="83"/>
      <c r="ET11" s="83"/>
      <c r="EU11" s="83"/>
      <c r="EV11" s="83"/>
      <c r="EW11" s="83"/>
      <c r="EX11" s="83"/>
      <c r="EY11" s="83"/>
      <c r="EZ11" s="83"/>
      <c r="FA11" s="83"/>
      <c r="FB11" s="83"/>
      <c r="FC11" s="83"/>
      <c r="FD11" s="83"/>
      <c r="FE11" s="83"/>
      <c r="FF11" s="83"/>
      <c r="FG11" s="83"/>
      <c r="FH11" s="83"/>
      <c r="FI11" s="83"/>
      <c r="FJ11" s="83"/>
      <c r="FK11" s="83"/>
      <c r="FL11" s="83"/>
      <c r="FM11" s="83"/>
      <c r="FN11" s="83"/>
      <c r="FO11" s="83"/>
      <c r="FP11" s="83"/>
      <c r="FQ11" s="83"/>
      <c r="FR11" s="83"/>
      <c r="FS11" s="83"/>
      <c r="FT11" s="83"/>
      <c r="FU11" s="83"/>
      <c r="FV11" s="83"/>
      <c r="FW11" s="83"/>
      <c r="FX11" s="83"/>
      <c r="FY11" s="83"/>
      <c r="FZ11" s="83"/>
      <c r="GA11" s="83"/>
      <c r="GB11" s="83"/>
      <c r="GC11" s="83"/>
      <c r="GD11" s="83"/>
      <c r="GE11" s="83"/>
      <c r="GF11" s="83"/>
      <c r="GG11" s="83"/>
      <c r="GH11" s="83"/>
      <c r="GI11" s="83"/>
      <c r="GJ11" s="83"/>
      <c r="GK11" s="83"/>
      <c r="GL11" s="83"/>
      <c r="GM11" s="83"/>
      <c r="GN11" s="83"/>
      <c r="GO11" s="83"/>
      <c r="GP11" s="83"/>
      <c r="GQ11" s="83"/>
      <c r="GR11" s="83"/>
      <c r="GS11" s="83"/>
      <c r="GT11" s="83"/>
      <c r="GU11" s="83"/>
      <c r="GV11" s="83"/>
      <c r="GW11" s="83"/>
      <c r="GX11" s="83"/>
      <c r="GY11" s="83"/>
      <c r="GZ11" s="83"/>
      <c r="HA11" s="83"/>
      <c r="HB11" s="83"/>
      <c r="HC11" s="83"/>
      <c r="HD11" s="83"/>
      <c r="HE11" s="83"/>
      <c r="HF11" s="83"/>
      <c r="HG11" s="83"/>
      <c r="HH11" s="83"/>
      <c r="HI11" s="83"/>
      <c r="HJ11" s="83"/>
      <c r="HK11" s="83"/>
      <c r="HL11" s="83"/>
      <c r="HM11" s="83"/>
      <c r="HN11" s="83"/>
      <c r="HO11" s="83"/>
      <c r="HP11" s="83"/>
      <c r="HQ11" s="83"/>
      <c r="HR11" s="83"/>
      <c r="HS11" s="83"/>
      <c r="HT11" s="83"/>
      <c r="HU11" s="83"/>
      <c r="HV11" s="83"/>
      <c r="HW11" s="83"/>
      <c r="HX11" s="83"/>
      <c r="HY11" s="83"/>
      <c r="HZ11" s="83"/>
      <c r="IA11" s="83"/>
      <c r="IB11" s="83"/>
      <c r="IC11" s="83"/>
      <c r="ID11" s="83"/>
      <c r="IE11" s="83"/>
      <c r="IF11" s="83"/>
      <c r="IG11" s="83"/>
      <c r="IH11" s="83"/>
      <c r="II11" s="83"/>
      <c r="IJ11" s="83"/>
      <c r="IK11" s="83"/>
      <c r="IL11" s="83"/>
      <c r="IM11" s="83"/>
      <c r="IN11" s="83"/>
      <c r="IO11" s="83"/>
      <c r="IP11" s="87"/>
      <c r="IQ11" s="87"/>
      <c r="IR11" s="87"/>
      <c r="IS11" s="87"/>
      <c r="IT11" s="87"/>
      <c r="IU11" s="87"/>
      <c r="IV11" s="87"/>
    </row>
    <row r="12" spans="1:256" s="34" customFormat="1" ht="16.5">
      <c r="A12" s="66" t="str">
        <f ca="1">IF(ISERROR(VALUE(SUBSTITUTE(OFFSET(A12,-1,0,1,1),".",""))),"0.1",IF(ISERROR(FIND("`",SUBSTITUTE(OFFSET(A12,-1,0,1,1),".","`",1))),OFFSET(A12,-1,0,1,1)&amp;".1",LEFT(OFFSET(A12,-1,0,1,1),FIND("`",SUBSTITUTE(OFFSET(A12,-1,0,1,1),".","`",1)))&amp;IF(ISERROR(FIND("`",SUBSTITUTE(OFFSET(A12,-1,0,1,1),".","`",2))),VALUE(RIGHT(OFFSET(A12,-1,0,1,1),LEN(OFFSET(A12,-1,0,1,1))-FIND("`",SUBSTITUTE(OFFSET(A12,-1,0,1,1),".","`",1))))+1,VALUE(MID(OFFSET(A12,-1,0,1,1),FIND("`",SUBSTITUTE(OFFSET(A12,-1,0,1,1),".","`",1))+1,(FIND("`",SUBSTITUTE(OFFSET(A12,-1,0,1,1),".","`",2))-FIND("`",SUBSTITUTE(OFFSET(A12,-1,0,1,1),".","`",1))-1)))+1)))</f>
        <v>1.1</v>
      </c>
      <c r="B12" s="121" t="s">
        <v>105</v>
      </c>
      <c r="C12" s="117"/>
      <c r="D12" s="67">
        <v>42064</v>
      </c>
      <c r="E12" s="67">
        <f t="shared" si="7"/>
        <v>42071</v>
      </c>
      <c r="F12" s="64">
        <f>SUM(F13:F16)</f>
        <v>8</v>
      </c>
      <c r="G12" s="65">
        <f>SUMPRODUCT(F13:F16,G13:G16)/SUM(F13:F16)</f>
        <v>1</v>
      </c>
      <c r="H12" s="68">
        <f t="shared" ref="H12:H21" si="8">NETWORKDAYS(D12,E12)</f>
        <v>5</v>
      </c>
      <c r="I12" s="84">
        <f>ROUNDDOWN(G12*F12,0)</f>
        <v>8</v>
      </c>
      <c r="J12" s="68">
        <f>F12-I12</f>
        <v>0</v>
      </c>
      <c r="K12" s="83">
        <v>100</v>
      </c>
      <c r="L12" s="34" t="s">
        <v>15</v>
      </c>
      <c r="P12" s="34" t="s">
        <v>33</v>
      </c>
      <c r="IP12" s="88"/>
      <c r="IQ12" s="88"/>
      <c r="IR12" s="88"/>
      <c r="IS12" s="88"/>
      <c r="IT12" s="88"/>
      <c r="IU12" s="88"/>
      <c r="IV12" s="88"/>
    </row>
    <row r="13" spans="1:256" s="33" customFormat="1" ht="16.5" customHeight="1">
      <c r="A13" s="69" t="str">
        <f ca="1">IF(ISERROR(VALUE(SUBSTITUTE(OFFSET(A13,-1,0,1,1),".",""))),"0.0.1",IF(ISERROR(FIND("`",SUBSTITUTE(OFFSET(A13,-1,0,1,1),".","`",2))),OFFSET(A13,-1,0,1,1)&amp;".1",LEFT(OFFSET(A13,-1,0,1,1),FIND("`",SUBSTITUTE(OFFSET(A13,-1,0,1,1),".","`",2)))&amp;IF(ISERROR(FIND("`",SUBSTITUTE(OFFSET(A13,-1,0,1,1),".","`",3))),VALUE(RIGHT(OFFSET(A13,-1,0,1,1),LEN(OFFSET(A13,-1,0,1,1))-FIND("`",SUBSTITUTE(OFFSET(A13,-1,0,1,1),".","`",2))))+1,VALUE(MID(OFFSET(A13,-1,0,1,1),FIND("`",SUBSTITUTE(OFFSET(A13,-1,0,1,1),".","`",2))+1,(FIND("`",SUBSTITUTE(OFFSET(A13,-1,0,1,1),".","`",3))-FIND("`",SUBSTITUTE(OFFSET(A13,-1,0,1,1),".","`",2))-1)))+1)))</f>
        <v>1.1.1</v>
      </c>
      <c r="B13" s="123" t="s">
        <v>106</v>
      </c>
      <c r="C13" s="117" t="s">
        <v>211</v>
      </c>
      <c r="D13" s="67">
        <v>42065</v>
      </c>
      <c r="E13" s="67">
        <f t="shared" si="7"/>
        <v>42066</v>
      </c>
      <c r="F13" s="68">
        <v>2</v>
      </c>
      <c r="G13" s="71">
        <v>1</v>
      </c>
      <c r="H13" s="68">
        <f t="shared" si="8"/>
        <v>2</v>
      </c>
      <c r="I13" s="84">
        <f>ROUNDDOWN(G13*F13,0)</f>
        <v>2</v>
      </c>
      <c r="J13" s="68">
        <f>F13-I13</f>
        <v>0</v>
      </c>
      <c r="K13" s="83">
        <v>100</v>
      </c>
      <c r="Y13" s="33" t="s">
        <v>34</v>
      </c>
      <c r="IP13" s="87"/>
      <c r="IQ13" s="87"/>
      <c r="IR13" s="87"/>
      <c r="IS13" s="87"/>
      <c r="IT13" s="87"/>
      <c r="IU13" s="87"/>
      <c r="IV13" s="87"/>
    </row>
    <row r="14" spans="1:256" s="33" customFormat="1" ht="16.5" customHeight="1">
      <c r="A14" s="69" t="s">
        <v>35</v>
      </c>
      <c r="B14" s="123" t="s">
        <v>107</v>
      </c>
      <c r="C14" s="117" t="s">
        <v>211</v>
      </c>
      <c r="D14" s="67">
        <f>E13+1</f>
        <v>42067</v>
      </c>
      <c r="E14" s="67">
        <f t="shared" si="7"/>
        <v>42067</v>
      </c>
      <c r="F14" s="68">
        <v>1</v>
      </c>
      <c r="G14" s="71">
        <v>1</v>
      </c>
      <c r="H14" s="68">
        <f t="shared" si="8"/>
        <v>1</v>
      </c>
      <c r="I14" s="84">
        <f>ROUNDDOWN(G14*F14,0)</f>
        <v>1</v>
      </c>
      <c r="J14" s="68">
        <f>F14-I14</f>
        <v>0</v>
      </c>
      <c r="K14" s="83">
        <v>100</v>
      </c>
      <c r="W14" s="33" t="s">
        <v>33</v>
      </c>
      <c r="IP14" s="87"/>
      <c r="IQ14" s="87"/>
      <c r="IR14" s="87"/>
      <c r="IS14" s="87"/>
      <c r="IT14" s="87"/>
      <c r="IU14" s="87"/>
      <c r="IV14" s="87"/>
    </row>
    <row r="15" spans="1:256" s="33" customFormat="1" ht="16.5" customHeight="1">
      <c r="A15" s="69" t="str">
        <f ca="1">IF(ISERROR(VALUE(SUBSTITUTE(OFFSET(A15,-1,0,1,1),".",""))),"0.0.1",IF(ISERROR(FIND("`",SUBSTITUTE(OFFSET(A15,-1,0,1,1),".","`",2))),OFFSET(A15,-1,0,1,1)&amp;".1",LEFT(OFFSET(A15,-1,0,1,1),FIND("`",SUBSTITUTE(OFFSET(A15,-1,0,1,1),".","`",2)))&amp;IF(ISERROR(FIND("`",SUBSTITUTE(OFFSET(A15,-1,0,1,1),".","`",3))),VALUE(RIGHT(OFFSET(A15,-1,0,1,1),LEN(OFFSET(A15,-1,0,1,1))-FIND("`",SUBSTITUTE(OFFSET(A15,-1,0,1,1),".","`",2))))+1,VALUE(MID(OFFSET(A15,-1,0,1,1),FIND("`",SUBSTITUTE(OFFSET(A15,-1,0,1,1),".","`",2))+1,(FIND("`",SUBSTITUTE(OFFSET(A15,-1,0,1,1),".","`",3))-FIND("`",SUBSTITUTE(OFFSET(A15,-1,0,1,1),".","`",2))-1)))+1)))</f>
        <v>1.1.3</v>
      </c>
      <c r="B15" s="122" t="s">
        <v>108</v>
      </c>
      <c r="C15" s="117" t="s">
        <v>211</v>
      </c>
      <c r="D15" s="67">
        <f>E14+1</f>
        <v>42068</v>
      </c>
      <c r="E15" s="67">
        <f t="shared" si="7"/>
        <v>42070</v>
      </c>
      <c r="F15" s="68">
        <v>3</v>
      </c>
      <c r="G15" s="71">
        <v>1</v>
      </c>
      <c r="H15" s="68">
        <f t="shared" si="8"/>
        <v>2</v>
      </c>
      <c r="I15" s="84">
        <f>ROUNDDOWN(G15*F15,0)</f>
        <v>3</v>
      </c>
      <c r="J15" s="68">
        <f>F15-I15</f>
        <v>0</v>
      </c>
      <c r="K15" s="83">
        <v>100</v>
      </c>
      <c r="Y15" s="33" t="s">
        <v>34</v>
      </c>
      <c r="IP15" s="87"/>
      <c r="IQ15" s="87"/>
      <c r="IR15" s="87"/>
      <c r="IS15" s="87"/>
      <c r="IT15" s="87"/>
      <c r="IU15" s="87"/>
      <c r="IV15" s="87"/>
    </row>
    <row r="16" spans="1:256" s="33" customFormat="1" ht="16.5" customHeight="1">
      <c r="A16" s="69" t="str">
        <f t="shared" ref="A16:A41" ca="1" si="9">IF(ISERROR(VALUE(SUBSTITUTE(OFFSET(A16,-1,0,1,1),".",""))),"0.0.1",IF(ISERROR(FIND("`",SUBSTITUTE(OFFSET(A16,-1,0,1,1),".","`",2))),OFFSET(A16,-1,0,1,1)&amp;".1",LEFT(OFFSET(A16,-1,0,1,1),FIND("`",SUBSTITUTE(OFFSET(A16,-1,0,1,1),".","`",2)))&amp;IF(ISERROR(FIND("`",SUBSTITUTE(OFFSET(A16,-1,0,1,1),".","`",3))),VALUE(RIGHT(OFFSET(A16,-1,0,1,1),LEN(OFFSET(A16,-1,0,1,1))-FIND("`",SUBSTITUTE(OFFSET(A16,-1,0,1,1),".","`",2))))+1,VALUE(MID(OFFSET(A16,-1,0,1,1),FIND("`",SUBSTITUTE(OFFSET(A16,-1,0,1,1),".","`",2))+1,(FIND("`",SUBSTITUTE(OFFSET(A16,-1,0,1,1),".","`",3))-FIND("`",SUBSTITUTE(OFFSET(A16,-1,0,1,1),".","`",2))-1)))+1)))</f>
        <v>1.1.4</v>
      </c>
      <c r="B16" s="124" t="s">
        <v>109</v>
      </c>
      <c r="C16" s="117" t="s">
        <v>211</v>
      </c>
      <c r="D16" s="67">
        <f>E15+1</f>
        <v>42071</v>
      </c>
      <c r="E16" s="67">
        <f t="shared" si="7"/>
        <v>42072</v>
      </c>
      <c r="F16" s="68">
        <v>2</v>
      </c>
      <c r="G16" s="71">
        <v>1</v>
      </c>
      <c r="H16" s="68">
        <f t="shared" si="8"/>
        <v>1</v>
      </c>
      <c r="I16" s="84">
        <f t="shared" ref="I16:I21" si="10">ROUNDDOWN(G16*F16,0)</f>
        <v>2</v>
      </c>
      <c r="J16" s="68">
        <f t="shared" ref="J16:J21" si="11">F16-I16</f>
        <v>0</v>
      </c>
      <c r="K16" s="83">
        <v>100</v>
      </c>
      <c r="Y16" s="33" t="s">
        <v>34</v>
      </c>
      <c r="IP16" s="87"/>
      <c r="IQ16" s="87"/>
      <c r="IR16" s="87"/>
      <c r="IS16" s="87"/>
      <c r="IT16" s="87"/>
      <c r="IU16" s="87"/>
      <c r="IV16" s="87"/>
    </row>
    <row r="17" spans="1:256" s="33" customFormat="1" ht="16.5" customHeight="1">
      <c r="A17" s="69">
        <v>1.2</v>
      </c>
      <c r="B17" s="121" t="s">
        <v>125</v>
      </c>
      <c r="C17" s="117"/>
      <c r="D17" s="67">
        <v>42064</v>
      </c>
      <c r="E17" s="67">
        <f t="shared" si="7"/>
        <v>42070</v>
      </c>
      <c r="F17" s="68">
        <f>SUM(F18:F22)</f>
        <v>7</v>
      </c>
      <c r="G17" s="65">
        <f>SUMPRODUCT(F18:F22,G18:G22)/SUM(F18:F22)</f>
        <v>1</v>
      </c>
      <c r="H17" s="68">
        <f t="shared" si="8"/>
        <v>5</v>
      </c>
      <c r="I17" s="84">
        <f t="shared" si="10"/>
        <v>7</v>
      </c>
      <c r="J17" s="68">
        <f t="shared" si="11"/>
        <v>0</v>
      </c>
      <c r="K17" s="83">
        <v>100</v>
      </c>
      <c r="Y17" s="33" t="s">
        <v>34</v>
      </c>
      <c r="IP17" s="87"/>
      <c r="IQ17" s="87"/>
      <c r="IR17" s="87"/>
      <c r="IS17" s="87"/>
      <c r="IT17" s="87"/>
      <c r="IU17" s="87"/>
      <c r="IV17" s="87"/>
    </row>
    <row r="18" spans="1:256" s="33" customFormat="1" ht="16.5" customHeight="1">
      <c r="A18" s="69" t="str">
        <f t="shared" ca="1" si="9"/>
        <v>1.2.1</v>
      </c>
      <c r="B18" s="122" t="s">
        <v>110</v>
      </c>
      <c r="C18" s="117" t="s">
        <v>203</v>
      </c>
      <c r="D18" s="67">
        <v>42064</v>
      </c>
      <c r="E18" s="67">
        <f t="shared" si="7"/>
        <v>42065</v>
      </c>
      <c r="F18" s="68">
        <v>2</v>
      </c>
      <c r="G18" s="71">
        <v>1</v>
      </c>
      <c r="H18" s="68">
        <f t="shared" si="8"/>
        <v>1</v>
      </c>
      <c r="I18" s="84">
        <f t="shared" si="10"/>
        <v>2</v>
      </c>
      <c r="J18" s="68">
        <f t="shared" si="11"/>
        <v>0</v>
      </c>
      <c r="K18" s="83">
        <v>100</v>
      </c>
      <c r="Y18" s="33" t="s">
        <v>34</v>
      </c>
      <c r="IP18" s="87"/>
      <c r="IQ18" s="87"/>
      <c r="IR18" s="87"/>
      <c r="IS18" s="87"/>
      <c r="IT18" s="87"/>
      <c r="IU18" s="87"/>
      <c r="IV18" s="87"/>
    </row>
    <row r="19" spans="1:256" s="33" customFormat="1" ht="16.5" customHeight="1">
      <c r="A19" s="69" t="str">
        <f t="shared" ca="1" si="9"/>
        <v>1.2.2</v>
      </c>
      <c r="B19" s="122" t="s">
        <v>111</v>
      </c>
      <c r="C19" s="117" t="s">
        <v>203</v>
      </c>
      <c r="D19" s="67">
        <f>E18+1</f>
        <v>42066</v>
      </c>
      <c r="E19" s="67">
        <f t="shared" si="7"/>
        <v>42067</v>
      </c>
      <c r="F19" s="68">
        <v>2</v>
      </c>
      <c r="G19" s="71">
        <v>1</v>
      </c>
      <c r="H19" s="68">
        <f t="shared" si="8"/>
        <v>2</v>
      </c>
      <c r="I19" s="84">
        <f t="shared" si="10"/>
        <v>2</v>
      </c>
      <c r="J19" s="68">
        <f t="shared" si="11"/>
        <v>0</v>
      </c>
      <c r="K19" s="83">
        <v>100</v>
      </c>
      <c r="Y19" s="33" t="s">
        <v>34</v>
      </c>
      <c r="IP19" s="87"/>
      <c r="IQ19" s="87"/>
      <c r="IR19" s="87"/>
      <c r="IS19" s="87"/>
      <c r="IT19" s="87"/>
      <c r="IU19" s="87"/>
      <c r="IV19" s="87"/>
    </row>
    <row r="20" spans="1:256" s="33" customFormat="1" ht="16.5" customHeight="1">
      <c r="A20" s="69" t="str">
        <f t="shared" ca="1" si="9"/>
        <v>1.2.3</v>
      </c>
      <c r="B20" s="122" t="s">
        <v>112</v>
      </c>
      <c r="C20" s="117" t="s">
        <v>203</v>
      </c>
      <c r="D20" s="67">
        <f>E19+1</f>
        <v>42068</v>
      </c>
      <c r="E20" s="67">
        <f t="shared" si="7"/>
        <v>42068</v>
      </c>
      <c r="F20" s="68">
        <v>1</v>
      </c>
      <c r="G20" s="71">
        <v>1</v>
      </c>
      <c r="H20" s="68">
        <f t="shared" si="8"/>
        <v>1</v>
      </c>
      <c r="I20" s="84">
        <f t="shared" si="10"/>
        <v>1</v>
      </c>
      <c r="J20" s="68">
        <f t="shared" si="11"/>
        <v>0</v>
      </c>
      <c r="K20" s="83">
        <v>100</v>
      </c>
      <c r="Y20" s="33" t="s">
        <v>34</v>
      </c>
      <c r="IP20" s="87"/>
      <c r="IQ20" s="87"/>
      <c r="IR20" s="87"/>
      <c r="IS20" s="87"/>
      <c r="IT20" s="87"/>
      <c r="IU20" s="87"/>
      <c r="IV20" s="87"/>
    </row>
    <row r="21" spans="1:256" s="33" customFormat="1" ht="16.5" customHeight="1">
      <c r="A21" s="69" t="str">
        <f t="shared" ca="1" si="9"/>
        <v>1.2.4</v>
      </c>
      <c r="B21" s="122" t="s">
        <v>113</v>
      </c>
      <c r="C21" s="117" t="s">
        <v>203</v>
      </c>
      <c r="D21" s="67">
        <f>E20+1</f>
        <v>42069</v>
      </c>
      <c r="E21" s="67">
        <f t="shared" si="7"/>
        <v>42069</v>
      </c>
      <c r="F21" s="68">
        <v>1</v>
      </c>
      <c r="G21" s="71">
        <v>1</v>
      </c>
      <c r="H21" s="68">
        <f t="shared" si="8"/>
        <v>1</v>
      </c>
      <c r="I21" s="84">
        <f t="shared" si="10"/>
        <v>1</v>
      </c>
      <c r="J21" s="68">
        <f t="shared" si="11"/>
        <v>0</v>
      </c>
      <c r="K21" s="83">
        <v>100</v>
      </c>
      <c r="Y21" s="33" t="s">
        <v>34</v>
      </c>
      <c r="IP21" s="87"/>
      <c r="IQ21" s="87"/>
      <c r="IR21" s="87"/>
      <c r="IS21" s="87"/>
      <c r="IT21" s="87"/>
      <c r="IU21" s="87"/>
      <c r="IV21" s="87"/>
    </row>
    <row r="22" spans="1:256" s="33" customFormat="1" ht="16.5" customHeight="1">
      <c r="A22" s="69" t="str">
        <f t="shared" ca="1" si="9"/>
        <v>1.2.5</v>
      </c>
      <c r="B22" s="122" t="s">
        <v>114</v>
      </c>
      <c r="C22" s="117" t="s">
        <v>203</v>
      </c>
      <c r="D22" s="67">
        <f>E21+1</f>
        <v>42070</v>
      </c>
      <c r="E22" s="67">
        <f t="shared" si="7"/>
        <v>42070</v>
      </c>
      <c r="F22" s="68">
        <v>1</v>
      </c>
      <c r="G22" s="71">
        <v>1</v>
      </c>
      <c r="H22" s="68">
        <f>NETWORKDAYS(D22,E22)</f>
        <v>0</v>
      </c>
      <c r="I22" s="84">
        <f t="shared" ref="I22:I44" si="12">ROUNDDOWN(G22*F22,0)</f>
        <v>1</v>
      </c>
      <c r="J22" s="68">
        <f t="shared" ref="J22:J44" si="13">F22-I22</f>
        <v>0</v>
      </c>
      <c r="K22" s="83">
        <v>100</v>
      </c>
      <c r="Y22" s="33" t="s">
        <v>34</v>
      </c>
      <c r="IP22" s="87"/>
      <c r="IQ22" s="87"/>
      <c r="IR22" s="87"/>
      <c r="IS22" s="87"/>
      <c r="IT22" s="87"/>
      <c r="IU22" s="87"/>
      <c r="IV22" s="87"/>
    </row>
    <row r="23" spans="1:256" s="33" customFormat="1" ht="16.5" customHeight="1">
      <c r="A23" s="69">
        <v>1.3</v>
      </c>
      <c r="B23" s="113" t="s">
        <v>126</v>
      </c>
      <c r="C23" s="117"/>
      <c r="D23" s="67">
        <v>42064</v>
      </c>
      <c r="E23" s="67">
        <f t="shared" si="7"/>
        <v>42080</v>
      </c>
      <c r="F23" s="68">
        <f>SUM(F24:F28)</f>
        <v>17</v>
      </c>
      <c r="G23" s="71">
        <f>SUMPRODUCT(F24:F28,G24:G28)/SUM(F24:F28)</f>
        <v>0.56470588235294117</v>
      </c>
      <c r="H23" s="68">
        <f t="shared" ref="H23:H33" si="14">NETWORKDAYS(D23,E23)</f>
        <v>12</v>
      </c>
      <c r="I23" s="84">
        <f t="shared" si="12"/>
        <v>9</v>
      </c>
      <c r="J23" s="68">
        <f t="shared" si="13"/>
        <v>8</v>
      </c>
      <c r="K23" s="83">
        <v>100</v>
      </c>
      <c r="Y23" s="33" t="s">
        <v>34</v>
      </c>
      <c r="IP23" s="87"/>
      <c r="IQ23" s="87"/>
      <c r="IR23" s="87"/>
      <c r="IS23" s="87"/>
      <c r="IT23" s="87"/>
      <c r="IU23" s="87"/>
      <c r="IV23" s="87"/>
    </row>
    <row r="24" spans="1:256" s="33" customFormat="1" ht="16.5" customHeight="1">
      <c r="A24" s="69" t="str">
        <f t="shared" ca="1" si="9"/>
        <v>1.3.1</v>
      </c>
      <c r="B24" s="115" t="s">
        <v>115</v>
      </c>
      <c r="C24" s="117" t="s">
        <v>202</v>
      </c>
      <c r="D24" s="67">
        <v>42064</v>
      </c>
      <c r="E24" s="67">
        <f t="shared" si="7"/>
        <v>42066</v>
      </c>
      <c r="F24" s="68">
        <v>3</v>
      </c>
      <c r="G24" s="71">
        <v>1</v>
      </c>
      <c r="H24" s="68">
        <f t="shared" si="14"/>
        <v>2</v>
      </c>
      <c r="I24" s="84">
        <f t="shared" si="12"/>
        <v>3</v>
      </c>
      <c r="J24" s="68">
        <f t="shared" si="13"/>
        <v>0</v>
      </c>
      <c r="K24" s="83">
        <v>100</v>
      </c>
      <c r="Y24" s="33" t="s">
        <v>34</v>
      </c>
      <c r="IP24" s="87"/>
      <c r="IQ24" s="87"/>
      <c r="IR24" s="87"/>
      <c r="IS24" s="87"/>
      <c r="IT24" s="87"/>
      <c r="IU24" s="87"/>
      <c r="IV24" s="87"/>
    </row>
    <row r="25" spans="1:256" s="33" customFormat="1" ht="16.5" customHeight="1">
      <c r="A25" s="69" t="str">
        <f t="shared" ca="1" si="9"/>
        <v>1.3.2</v>
      </c>
      <c r="B25" s="115" t="s">
        <v>116</v>
      </c>
      <c r="C25" s="117" t="s">
        <v>202</v>
      </c>
      <c r="D25" s="67">
        <f>E24+1</f>
        <v>42067</v>
      </c>
      <c r="E25" s="67">
        <f t="shared" si="7"/>
        <v>42069</v>
      </c>
      <c r="F25" s="68">
        <v>3</v>
      </c>
      <c r="G25" s="71">
        <v>1</v>
      </c>
      <c r="H25" s="68">
        <f>NETWORKDAYS(D25,E25)</f>
        <v>3</v>
      </c>
      <c r="I25" s="84">
        <f t="shared" si="12"/>
        <v>3</v>
      </c>
      <c r="J25" s="68">
        <f t="shared" si="13"/>
        <v>0</v>
      </c>
      <c r="K25" s="83">
        <v>100</v>
      </c>
      <c r="Y25" s="33" t="s">
        <v>34</v>
      </c>
      <c r="IP25" s="87"/>
      <c r="IQ25" s="87"/>
      <c r="IR25" s="87"/>
      <c r="IS25" s="87"/>
      <c r="IT25" s="87"/>
      <c r="IU25" s="87"/>
      <c r="IV25" s="87"/>
    </row>
    <row r="26" spans="1:256" s="33" customFormat="1" ht="16.5" customHeight="1">
      <c r="A26" s="69" t="str">
        <f t="shared" ca="1" si="9"/>
        <v>1.3.3</v>
      </c>
      <c r="B26" s="115" t="s">
        <v>117</v>
      </c>
      <c r="C26" s="117" t="s">
        <v>202</v>
      </c>
      <c r="D26" s="67">
        <f>E25+1</f>
        <v>42070</v>
      </c>
      <c r="E26" s="67">
        <f t="shared" si="7"/>
        <v>42073</v>
      </c>
      <c r="F26" s="68">
        <v>4</v>
      </c>
      <c r="G26" s="71">
        <v>0.3</v>
      </c>
      <c r="H26" s="68">
        <f>NETWORKDAYS(D26,E26)</f>
        <v>2</v>
      </c>
      <c r="I26" s="84">
        <f t="shared" si="12"/>
        <v>1</v>
      </c>
      <c r="J26" s="68">
        <f t="shared" si="13"/>
        <v>3</v>
      </c>
      <c r="K26" s="83">
        <v>100</v>
      </c>
      <c r="Y26" s="33" t="s">
        <v>34</v>
      </c>
      <c r="IP26" s="87"/>
      <c r="IQ26" s="87"/>
      <c r="IR26" s="87"/>
      <c r="IS26" s="87"/>
      <c r="IT26" s="87"/>
      <c r="IU26" s="87"/>
      <c r="IV26" s="87"/>
    </row>
    <row r="27" spans="1:256" s="33" customFormat="1" ht="16.5" customHeight="1">
      <c r="A27" s="69" t="str">
        <f t="shared" ca="1" si="9"/>
        <v>1.3.4</v>
      </c>
      <c r="B27" s="115" t="s">
        <v>118</v>
      </c>
      <c r="C27" s="117" t="s">
        <v>202</v>
      </c>
      <c r="D27" s="67">
        <f>E26+1</f>
        <v>42074</v>
      </c>
      <c r="E27" s="67">
        <f t="shared" si="7"/>
        <v>42078</v>
      </c>
      <c r="F27" s="68">
        <v>5</v>
      </c>
      <c r="G27" s="71">
        <v>0.4</v>
      </c>
      <c r="H27" s="68">
        <f>NETWORKDAYS(D27,E27)</f>
        <v>3</v>
      </c>
      <c r="I27" s="84">
        <f t="shared" si="12"/>
        <v>2</v>
      </c>
      <c r="J27" s="68">
        <f t="shared" si="13"/>
        <v>3</v>
      </c>
      <c r="K27" s="83">
        <v>100</v>
      </c>
      <c r="Y27" s="33" t="s">
        <v>34</v>
      </c>
      <c r="IP27" s="87"/>
      <c r="IQ27" s="87"/>
      <c r="IR27" s="87"/>
      <c r="IS27" s="87"/>
      <c r="IT27" s="87"/>
      <c r="IU27" s="87"/>
      <c r="IV27" s="87"/>
    </row>
    <row r="28" spans="1:256" s="33" customFormat="1" ht="16.5" customHeight="1">
      <c r="A28" s="69" t="str">
        <f t="shared" ca="1" si="9"/>
        <v>1.3.5</v>
      </c>
      <c r="B28" s="115" t="s">
        <v>119</v>
      </c>
      <c r="C28" s="117" t="s">
        <v>202</v>
      </c>
      <c r="D28" s="67">
        <f>E27+1</f>
        <v>42079</v>
      </c>
      <c r="E28" s="67">
        <f t="shared" si="7"/>
        <v>42080</v>
      </c>
      <c r="F28" s="68">
        <v>2</v>
      </c>
      <c r="G28" s="71">
        <v>0.2</v>
      </c>
      <c r="H28" s="68">
        <f>NETWORKDAYS(D28,E28)</f>
        <v>2</v>
      </c>
      <c r="I28" s="84">
        <f t="shared" si="12"/>
        <v>0</v>
      </c>
      <c r="J28" s="68">
        <f t="shared" si="13"/>
        <v>2</v>
      </c>
      <c r="K28" s="83">
        <v>100</v>
      </c>
      <c r="Y28" s="33" t="s">
        <v>34</v>
      </c>
      <c r="IP28" s="87"/>
      <c r="IQ28" s="87"/>
      <c r="IR28" s="87"/>
      <c r="IS28" s="87"/>
      <c r="IT28" s="87"/>
      <c r="IU28" s="87"/>
      <c r="IV28" s="87"/>
    </row>
    <row r="29" spans="1:256" s="33" customFormat="1" ht="16.5" customHeight="1">
      <c r="A29" s="69" t="str">
        <f ca="1">IF(ISERROR(VALUE(SUBSTITUTE(OFFSET(A29,-1,0,1,1),".",""))),"0.1",IF(ISERROR(FIND("`",SUBSTITUTE(OFFSET(A29,-1,0,1,1),".","`",1))),OFFSET(A29,-1,0,1,1)&amp;".1",LEFT(OFFSET(A29,-1,0,1,1),FIND("`",SUBSTITUTE(OFFSET(A29,-1,0,1,1),".","`",1)))&amp;IF(ISERROR(FIND("`",SUBSTITUTE(OFFSET(A29,-1,0,1,1),".","`",2))),VALUE(RIGHT(OFFSET(A29,-1,0,1,1),LEN(OFFSET(A29,-1,0,1,1))-FIND("`",SUBSTITUTE(OFFSET(A29,-1,0,1,1),".","`",1))))+1,VALUE(MID(OFFSET(A29,-1,0,1,1),FIND("`",SUBSTITUTE(OFFSET(A29,-1,0,1,1),".","`",1))+1,(FIND("`",SUBSTITUTE(OFFSET(A29,-1,0,1,1),".","`",2))-FIND("`",SUBSTITUTE(OFFSET(A29,-1,0,1,1),".","`",1))-1)))+1)))</f>
        <v>1.4</v>
      </c>
      <c r="B29" s="114" t="s">
        <v>120</v>
      </c>
      <c r="C29" s="117"/>
      <c r="D29" s="67">
        <v>42072</v>
      </c>
      <c r="E29" s="67">
        <f t="shared" si="7"/>
        <v>42083</v>
      </c>
      <c r="F29" s="68">
        <f>SUM(F30:F32)</f>
        <v>12</v>
      </c>
      <c r="G29" s="71">
        <v>0.1</v>
      </c>
      <c r="H29" s="68">
        <f t="shared" si="14"/>
        <v>10</v>
      </c>
      <c r="I29" s="84">
        <f t="shared" si="12"/>
        <v>1</v>
      </c>
      <c r="J29" s="68">
        <f t="shared" si="13"/>
        <v>11</v>
      </c>
      <c r="K29" s="83">
        <v>100</v>
      </c>
      <c r="IP29" s="87"/>
      <c r="IQ29" s="87"/>
      <c r="IR29" s="87"/>
      <c r="IS29" s="87"/>
      <c r="IT29" s="87"/>
      <c r="IU29" s="87"/>
      <c r="IV29" s="87"/>
    </row>
    <row r="30" spans="1:256" s="33" customFormat="1" ht="16.5" customHeight="1">
      <c r="A30" s="69" t="str">
        <f t="shared" ca="1" si="9"/>
        <v>1.4.1</v>
      </c>
      <c r="B30" s="115" t="s">
        <v>121</v>
      </c>
      <c r="C30" s="117" t="s">
        <v>211</v>
      </c>
      <c r="D30" s="67">
        <v>42072</v>
      </c>
      <c r="E30" s="67">
        <f t="shared" si="7"/>
        <v>42075</v>
      </c>
      <c r="F30" s="68">
        <v>4</v>
      </c>
      <c r="G30" s="71">
        <v>0.3</v>
      </c>
      <c r="H30" s="68">
        <f t="shared" si="14"/>
        <v>4</v>
      </c>
      <c r="I30" s="84">
        <f t="shared" si="12"/>
        <v>1</v>
      </c>
      <c r="J30" s="68">
        <f t="shared" si="13"/>
        <v>3</v>
      </c>
      <c r="K30" s="83">
        <v>100</v>
      </c>
      <c r="Y30" s="33" t="s">
        <v>34</v>
      </c>
      <c r="IP30" s="87"/>
      <c r="IQ30" s="87"/>
      <c r="IR30" s="87"/>
      <c r="IS30" s="87"/>
      <c r="IT30" s="87"/>
      <c r="IU30" s="87"/>
      <c r="IV30" s="87"/>
    </row>
    <row r="31" spans="1:256" s="33" customFormat="1" ht="16.5" customHeight="1">
      <c r="A31" s="69" t="str">
        <f t="shared" ca="1" si="9"/>
        <v>1.4.2</v>
      </c>
      <c r="B31" s="115" t="s">
        <v>122</v>
      </c>
      <c r="C31" s="117" t="s">
        <v>211</v>
      </c>
      <c r="D31" s="67">
        <f>E30+1</f>
        <v>42076</v>
      </c>
      <c r="E31" s="67">
        <f t="shared" si="7"/>
        <v>42079</v>
      </c>
      <c r="F31" s="68">
        <v>4</v>
      </c>
      <c r="G31" s="71">
        <v>0</v>
      </c>
      <c r="H31" s="68">
        <f>NETWORKDAYS(D31,E31)</f>
        <v>2</v>
      </c>
      <c r="I31" s="84">
        <f t="shared" si="12"/>
        <v>0</v>
      </c>
      <c r="J31" s="68">
        <f t="shared" si="13"/>
        <v>4</v>
      </c>
      <c r="K31" s="83">
        <v>100</v>
      </c>
      <c r="Y31" s="33" t="s">
        <v>34</v>
      </c>
      <c r="IP31" s="87"/>
      <c r="IQ31" s="87"/>
      <c r="IR31" s="87"/>
      <c r="IS31" s="87"/>
      <c r="IT31" s="87"/>
      <c r="IU31" s="87"/>
      <c r="IV31" s="87"/>
    </row>
    <row r="32" spans="1:256" s="33" customFormat="1" ht="16.5" customHeight="1">
      <c r="A32" s="69" t="str">
        <f t="shared" ca="1" si="9"/>
        <v>1.4.3</v>
      </c>
      <c r="B32" s="115" t="s">
        <v>123</v>
      </c>
      <c r="C32" s="117" t="s">
        <v>211</v>
      </c>
      <c r="D32" s="67">
        <f>E31+1</f>
        <v>42080</v>
      </c>
      <c r="E32" s="67">
        <f t="shared" si="7"/>
        <v>42083</v>
      </c>
      <c r="F32" s="68">
        <v>4</v>
      </c>
      <c r="G32" s="71">
        <v>0</v>
      </c>
      <c r="H32" s="68">
        <f>NETWORKDAYS(D32,E32)</f>
        <v>4</v>
      </c>
      <c r="I32" s="84">
        <f t="shared" si="12"/>
        <v>0</v>
      </c>
      <c r="J32" s="68">
        <f t="shared" si="13"/>
        <v>4</v>
      </c>
      <c r="K32" s="83">
        <v>100</v>
      </c>
      <c r="Y32" s="33" t="s">
        <v>34</v>
      </c>
      <c r="IP32" s="87"/>
      <c r="IQ32" s="87"/>
      <c r="IR32" s="87"/>
      <c r="IS32" s="87"/>
      <c r="IT32" s="87"/>
      <c r="IU32" s="87"/>
      <c r="IV32" s="87"/>
    </row>
    <row r="33" spans="1:256" s="33" customFormat="1" ht="16.5" customHeight="1">
      <c r="A33" s="69" t="str">
        <f ca="1">IF(ISERROR(VALUE(SUBSTITUTE(OFFSET(A33,-1,0,1,1),".",""))),"0.1",IF(ISERROR(FIND("`",SUBSTITUTE(OFFSET(A33,-1,0,1,1),".","`",1))),OFFSET(A33,-1,0,1,1)&amp;".1",LEFT(OFFSET(A33,-1,0,1,1),FIND("`",SUBSTITUTE(OFFSET(A33,-1,0,1,1),".","`",1)))&amp;IF(ISERROR(FIND("`",SUBSTITUTE(OFFSET(A33,-1,0,1,1),".","`",2))),VALUE(RIGHT(OFFSET(A33,-1,0,1,1),LEN(OFFSET(A33,-1,0,1,1))-FIND("`",SUBSTITUTE(OFFSET(A33,-1,0,1,1),".","`",1))))+1,VALUE(MID(OFFSET(A33,-1,0,1,1),FIND("`",SUBSTITUTE(OFFSET(A33,-1,0,1,1),".","`",1))+1,(FIND("`",SUBSTITUTE(OFFSET(A33,-1,0,1,1),".","`",2))-FIND("`",SUBSTITUTE(OFFSET(A33,-1,0,1,1),".","`",1))-1)))+1)))</f>
        <v>1.5</v>
      </c>
      <c r="B33" s="116" t="s">
        <v>124</v>
      </c>
      <c r="C33" s="117"/>
      <c r="D33" s="67">
        <v>42071</v>
      </c>
      <c r="E33" s="67">
        <f t="shared" si="7"/>
        <v>42088</v>
      </c>
      <c r="F33" s="68">
        <f>SUM(F34:F41)</f>
        <v>18</v>
      </c>
      <c r="G33" s="71">
        <f>SUMPRODUCT(F34:F41,G34:G41)/SUM(F34:F41)</f>
        <v>0.5</v>
      </c>
      <c r="H33" s="68">
        <f t="shared" si="14"/>
        <v>13</v>
      </c>
      <c r="I33" s="84">
        <f t="shared" si="12"/>
        <v>9</v>
      </c>
      <c r="J33" s="68">
        <f t="shared" si="13"/>
        <v>9</v>
      </c>
      <c r="K33" s="83">
        <v>100</v>
      </c>
      <c r="IP33" s="87"/>
      <c r="IQ33" s="87"/>
      <c r="IR33" s="87"/>
      <c r="IS33" s="87"/>
      <c r="IT33" s="87"/>
      <c r="IU33" s="87"/>
      <c r="IV33" s="87"/>
    </row>
    <row r="34" spans="1:256" s="33" customFormat="1" ht="16.5" customHeight="1">
      <c r="A34" s="69" t="str">
        <f t="shared" ca="1" si="9"/>
        <v>1.5.1</v>
      </c>
      <c r="B34" s="115" t="s">
        <v>127</v>
      </c>
      <c r="C34" s="117" t="s">
        <v>210</v>
      </c>
      <c r="D34" s="67">
        <v>42071</v>
      </c>
      <c r="E34" s="67">
        <f t="shared" si="7"/>
        <v>42072</v>
      </c>
      <c r="F34" s="68">
        <v>2</v>
      </c>
      <c r="G34" s="71">
        <v>0.5</v>
      </c>
      <c r="H34" s="68">
        <f t="shared" ref="H34:H43" si="15">NETWORKDAYS(D34,E34)</f>
        <v>1</v>
      </c>
      <c r="I34" s="84">
        <f t="shared" si="12"/>
        <v>1</v>
      </c>
      <c r="J34" s="68">
        <f t="shared" si="13"/>
        <v>1</v>
      </c>
      <c r="K34" s="83">
        <v>100</v>
      </c>
      <c r="Y34" s="33" t="s">
        <v>34</v>
      </c>
      <c r="IP34" s="87"/>
      <c r="IQ34" s="87"/>
      <c r="IR34" s="87"/>
      <c r="IS34" s="87"/>
      <c r="IT34" s="87"/>
      <c r="IU34" s="87"/>
      <c r="IV34" s="87"/>
    </row>
    <row r="35" spans="1:256" s="33" customFormat="1" ht="16.5" customHeight="1">
      <c r="A35" s="69" t="str">
        <f t="shared" ca="1" si="9"/>
        <v>1.5.2</v>
      </c>
      <c r="B35" s="115" t="s">
        <v>128</v>
      </c>
      <c r="C35" s="117" t="s">
        <v>203</v>
      </c>
      <c r="D35" s="67">
        <f>E34+1</f>
        <v>42073</v>
      </c>
      <c r="E35" s="67">
        <f t="shared" si="7"/>
        <v>42075</v>
      </c>
      <c r="F35" s="68">
        <v>3</v>
      </c>
      <c r="G35" s="71">
        <v>1</v>
      </c>
      <c r="H35" s="68">
        <f t="shared" si="15"/>
        <v>3</v>
      </c>
      <c r="I35" s="84">
        <f t="shared" si="12"/>
        <v>3</v>
      </c>
      <c r="J35" s="68">
        <f t="shared" si="13"/>
        <v>0</v>
      </c>
      <c r="K35" s="83">
        <v>100</v>
      </c>
      <c r="Y35" s="33" t="s">
        <v>34</v>
      </c>
      <c r="IP35" s="87"/>
      <c r="IQ35" s="87"/>
      <c r="IR35" s="87"/>
      <c r="IS35" s="87"/>
      <c r="IT35" s="87"/>
      <c r="IU35" s="87"/>
      <c r="IV35" s="87"/>
    </row>
    <row r="36" spans="1:256" s="33" customFormat="1" ht="16.5" customHeight="1">
      <c r="A36" s="69" t="str">
        <f t="shared" ca="1" si="9"/>
        <v>1.5.3</v>
      </c>
      <c r="B36" s="115" t="s">
        <v>129</v>
      </c>
      <c r="C36" s="117" t="s">
        <v>203</v>
      </c>
      <c r="D36" s="67">
        <f t="shared" ref="D36:D41" si="16">E35+1</f>
        <v>42076</v>
      </c>
      <c r="E36" s="67">
        <f t="shared" si="7"/>
        <v>42078</v>
      </c>
      <c r="F36" s="68">
        <v>3</v>
      </c>
      <c r="G36" s="71">
        <v>1</v>
      </c>
      <c r="H36" s="68">
        <f t="shared" si="15"/>
        <v>1</v>
      </c>
      <c r="I36" s="84">
        <f t="shared" si="12"/>
        <v>3</v>
      </c>
      <c r="J36" s="68">
        <f t="shared" si="13"/>
        <v>0</v>
      </c>
      <c r="K36" s="83">
        <v>100</v>
      </c>
      <c r="Y36" s="33" t="s">
        <v>34</v>
      </c>
      <c r="IP36" s="87"/>
      <c r="IQ36" s="87"/>
      <c r="IR36" s="87"/>
      <c r="IS36" s="87"/>
      <c r="IT36" s="87"/>
      <c r="IU36" s="87"/>
      <c r="IV36" s="87"/>
    </row>
    <row r="37" spans="1:256" s="33" customFormat="1" ht="16.5" customHeight="1">
      <c r="A37" s="69" t="str">
        <f t="shared" ca="1" si="9"/>
        <v>1.5.4</v>
      </c>
      <c r="B37" s="115" t="s">
        <v>130</v>
      </c>
      <c r="C37" s="117" t="s">
        <v>203</v>
      </c>
      <c r="D37" s="67">
        <f t="shared" si="16"/>
        <v>42079</v>
      </c>
      <c r="E37" s="67">
        <f t="shared" si="7"/>
        <v>42080</v>
      </c>
      <c r="F37" s="68">
        <v>2</v>
      </c>
      <c r="G37" s="71">
        <v>1</v>
      </c>
      <c r="H37" s="68">
        <f t="shared" si="15"/>
        <v>2</v>
      </c>
      <c r="I37" s="84">
        <f t="shared" si="12"/>
        <v>2</v>
      </c>
      <c r="J37" s="68">
        <f t="shared" si="13"/>
        <v>0</v>
      </c>
      <c r="K37" s="83">
        <v>100</v>
      </c>
      <c r="Y37" s="33" t="s">
        <v>34</v>
      </c>
      <c r="IP37" s="87"/>
      <c r="IQ37" s="87"/>
      <c r="IR37" s="87"/>
      <c r="IS37" s="87"/>
      <c r="IT37" s="87"/>
      <c r="IU37" s="87"/>
      <c r="IV37" s="87"/>
    </row>
    <row r="38" spans="1:256" s="33" customFormat="1" ht="16.5" customHeight="1">
      <c r="A38" s="69" t="str">
        <f t="shared" ca="1" si="9"/>
        <v>1.5.5</v>
      </c>
      <c r="B38" s="115" t="s">
        <v>132</v>
      </c>
      <c r="C38" s="117" t="s">
        <v>199</v>
      </c>
      <c r="D38" s="67">
        <f t="shared" si="16"/>
        <v>42081</v>
      </c>
      <c r="E38" s="67">
        <f t="shared" si="7"/>
        <v>42082</v>
      </c>
      <c r="F38" s="68">
        <v>2</v>
      </c>
      <c r="G38" s="71">
        <v>0</v>
      </c>
      <c r="H38" s="68">
        <f t="shared" si="15"/>
        <v>2</v>
      </c>
      <c r="I38" s="84">
        <f t="shared" si="12"/>
        <v>0</v>
      </c>
      <c r="J38" s="68">
        <f t="shared" si="13"/>
        <v>2</v>
      </c>
      <c r="K38" s="83">
        <v>100</v>
      </c>
      <c r="Y38" s="33" t="s">
        <v>34</v>
      </c>
      <c r="IP38" s="87"/>
      <c r="IQ38" s="87"/>
      <c r="IR38" s="87"/>
      <c r="IS38" s="87"/>
      <c r="IT38" s="87"/>
      <c r="IU38" s="87"/>
      <c r="IV38" s="87"/>
    </row>
    <row r="39" spans="1:256" s="33" customFormat="1" ht="16.5" customHeight="1">
      <c r="A39" s="69" t="str">
        <f t="shared" ca="1" si="9"/>
        <v>1.5.6</v>
      </c>
      <c r="B39" s="115" t="s">
        <v>131</v>
      </c>
      <c r="C39" s="117" t="s">
        <v>199</v>
      </c>
      <c r="D39" s="67">
        <f t="shared" si="16"/>
        <v>42083</v>
      </c>
      <c r="E39" s="67">
        <f t="shared" si="7"/>
        <v>42084</v>
      </c>
      <c r="F39" s="68">
        <v>2</v>
      </c>
      <c r="G39" s="71">
        <v>0</v>
      </c>
      <c r="H39" s="68">
        <f t="shared" si="15"/>
        <v>1</v>
      </c>
      <c r="I39" s="84">
        <f t="shared" si="12"/>
        <v>0</v>
      </c>
      <c r="J39" s="68">
        <f t="shared" si="13"/>
        <v>2</v>
      </c>
      <c r="K39" s="83">
        <v>100</v>
      </c>
      <c r="Y39" s="33" t="s">
        <v>34</v>
      </c>
      <c r="IP39" s="87"/>
      <c r="IQ39" s="87"/>
      <c r="IR39" s="87"/>
      <c r="IS39" s="87"/>
      <c r="IT39" s="87"/>
      <c r="IU39" s="87"/>
      <c r="IV39" s="87"/>
    </row>
    <row r="40" spans="1:256" s="33" customFormat="1" ht="16.5" customHeight="1">
      <c r="A40" s="69" t="str">
        <f t="shared" ca="1" si="9"/>
        <v>1.5.7</v>
      </c>
      <c r="B40" s="115" t="s">
        <v>133</v>
      </c>
      <c r="C40" s="117" t="s">
        <v>199</v>
      </c>
      <c r="D40" s="67">
        <f t="shared" si="16"/>
        <v>42085</v>
      </c>
      <c r="E40" s="67">
        <f t="shared" si="7"/>
        <v>42086</v>
      </c>
      <c r="F40" s="68">
        <v>2</v>
      </c>
      <c r="G40" s="71">
        <v>0</v>
      </c>
      <c r="H40" s="68">
        <f t="shared" si="15"/>
        <v>1</v>
      </c>
      <c r="I40" s="84">
        <f t="shared" si="12"/>
        <v>0</v>
      </c>
      <c r="J40" s="68">
        <f t="shared" si="13"/>
        <v>2</v>
      </c>
      <c r="K40" s="83">
        <v>100</v>
      </c>
      <c r="Y40" s="33" t="s">
        <v>34</v>
      </c>
      <c r="IP40" s="87"/>
      <c r="IQ40" s="87"/>
      <c r="IR40" s="87"/>
      <c r="IS40" s="87"/>
      <c r="IT40" s="87"/>
      <c r="IU40" s="87"/>
      <c r="IV40" s="87"/>
    </row>
    <row r="41" spans="1:256" s="33" customFormat="1" ht="16.5" customHeight="1">
      <c r="A41" s="69" t="str">
        <f t="shared" ca="1" si="9"/>
        <v>1.5.8</v>
      </c>
      <c r="B41" s="115" t="s">
        <v>134</v>
      </c>
      <c r="C41" s="117" t="s">
        <v>199</v>
      </c>
      <c r="D41" s="67">
        <f t="shared" si="16"/>
        <v>42087</v>
      </c>
      <c r="E41" s="67">
        <f t="shared" si="7"/>
        <v>42088</v>
      </c>
      <c r="F41" s="68">
        <v>2</v>
      </c>
      <c r="G41" s="71">
        <v>0</v>
      </c>
      <c r="H41" s="68">
        <f t="shared" si="15"/>
        <v>2</v>
      </c>
      <c r="I41" s="84">
        <f t="shared" si="12"/>
        <v>0</v>
      </c>
      <c r="J41" s="68">
        <f t="shared" si="13"/>
        <v>2</v>
      </c>
      <c r="K41" s="83">
        <v>100</v>
      </c>
      <c r="Y41" s="33" t="s">
        <v>34</v>
      </c>
      <c r="IP41" s="87"/>
      <c r="IQ41" s="87"/>
      <c r="IR41" s="87"/>
      <c r="IS41" s="87"/>
      <c r="IT41" s="87"/>
      <c r="IU41" s="87"/>
      <c r="IV41" s="87"/>
    </row>
    <row r="42" spans="1:256" s="33" customFormat="1" ht="16.5" customHeight="1">
      <c r="A42" s="69" t="str">
        <f ca="1">IF(ISERROR(VALUE(SUBSTITUTE(OFFSET(A42,-1,0,1,1),".",""))),"0.1",IF(ISERROR(FIND("`",SUBSTITUTE(OFFSET(A42,-1,0,1,1),".","`",1))),OFFSET(A42,-1,0,1,1)&amp;".1",LEFT(OFFSET(A42,-1,0,1,1),FIND("`",SUBSTITUTE(OFFSET(A42,-1,0,1,1),".","`",1)))&amp;IF(ISERROR(FIND("`",SUBSTITUTE(OFFSET(A42,-1,0,1,1),".","`",2))),VALUE(RIGHT(OFFSET(A42,-1,0,1,1),LEN(OFFSET(A42,-1,0,1,1))-FIND("`",SUBSTITUTE(OFFSET(A42,-1,0,1,1),".","`",1))))+1,VALUE(MID(OFFSET(A42,-1,0,1,1),FIND("`",SUBSTITUTE(OFFSET(A42,-1,0,1,1),".","`",1))+1,(FIND("`",SUBSTITUTE(OFFSET(A42,-1,0,1,1),".","`",2))-FIND("`",SUBSTITUTE(OFFSET(A42,-1,0,1,1),".","`",1))-1)))+1)))</f>
        <v>1.6</v>
      </c>
      <c r="B42" s="114" t="s">
        <v>135</v>
      </c>
      <c r="C42" s="117" t="s">
        <v>203</v>
      </c>
      <c r="D42" s="67">
        <v>42076</v>
      </c>
      <c r="E42" s="67">
        <f t="shared" si="7"/>
        <v>42080</v>
      </c>
      <c r="F42" s="68">
        <v>5</v>
      </c>
      <c r="G42" s="71">
        <v>0</v>
      </c>
      <c r="H42" s="68">
        <f t="shared" si="15"/>
        <v>3</v>
      </c>
      <c r="I42" s="84">
        <f t="shared" si="12"/>
        <v>0</v>
      </c>
      <c r="J42" s="68">
        <f t="shared" si="13"/>
        <v>5</v>
      </c>
      <c r="K42" s="83">
        <v>100</v>
      </c>
      <c r="IP42" s="87"/>
      <c r="IQ42" s="87"/>
      <c r="IR42" s="87"/>
      <c r="IS42" s="87"/>
      <c r="IT42" s="87"/>
      <c r="IU42" s="87"/>
      <c r="IV42" s="87"/>
    </row>
    <row r="43" spans="1:256" s="33" customFormat="1" ht="16.5" customHeight="1">
      <c r="A43" s="69" t="str">
        <f ca="1">IF(ISERROR(VALUE(SUBSTITUTE(OFFSET(A43,-1,0,1,1),".",""))),"0.1",IF(ISERROR(FIND("`",SUBSTITUTE(OFFSET(A43,-1,0,1,1),".","`",1))),OFFSET(A43,-1,0,1,1)&amp;".1",LEFT(OFFSET(A43,-1,0,1,1),FIND("`",SUBSTITUTE(OFFSET(A43,-1,0,1,1),".","`",1)))&amp;IF(ISERROR(FIND("`",SUBSTITUTE(OFFSET(A43,-1,0,1,1),".","`",2))),VALUE(RIGHT(OFFSET(A43,-1,0,1,1),LEN(OFFSET(A43,-1,0,1,1))-FIND("`",SUBSTITUTE(OFFSET(A43,-1,0,1,1),".","`",1))))+1,VALUE(MID(OFFSET(A43,-1,0,1,1),FIND("`",SUBSTITUTE(OFFSET(A43,-1,0,1,1),".","`",1))+1,(FIND("`",SUBSTITUTE(OFFSET(A43,-1,0,1,1),".","`",2))-FIND("`",SUBSTITUTE(OFFSET(A43,-1,0,1,1),".","`",1))-1)))+1)))</f>
        <v>1.7</v>
      </c>
      <c r="B43" s="114" t="s">
        <v>136</v>
      </c>
      <c r="C43" s="117" t="s">
        <v>211</v>
      </c>
      <c r="D43" s="67">
        <v>42076</v>
      </c>
      <c r="E43" s="67">
        <f t="shared" si="7"/>
        <v>42077</v>
      </c>
      <c r="F43" s="68">
        <v>2</v>
      </c>
      <c r="G43" s="71">
        <v>1</v>
      </c>
      <c r="H43" s="68">
        <f t="shared" si="15"/>
        <v>1</v>
      </c>
      <c r="I43" s="84">
        <f t="shared" si="12"/>
        <v>2</v>
      </c>
      <c r="J43" s="68">
        <f t="shared" si="13"/>
        <v>0</v>
      </c>
      <c r="K43" s="83">
        <v>100</v>
      </c>
      <c r="IP43" s="87"/>
      <c r="IQ43" s="87"/>
      <c r="IR43" s="87"/>
      <c r="IS43" s="87"/>
      <c r="IT43" s="87"/>
      <c r="IU43" s="87"/>
      <c r="IV43" s="87"/>
    </row>
    <row r="44" spans="1:256" s="33" customFormat="1" ht="16.5" customHeight="1">
      <c r="A44" s="69" t="str">
        <f ca="1">IF(ISERROR(VALUE(SUBSTITUTE(OFFSET(A44,-1,0,1,1),".",""))),"0.1",IF(ISERROR(FIND("`",SUBSTITUTE(OFFSET(A44,-1,0,1,1),".","`",1))),OFFSET(A44,-1,0,1,1)&amp;".1",LEFT(OFFSET(A44,-1,0,1,1),FIND("`",SUBSTITUTE(OFFSET(A44,-1,0,1,1),".","`",1)))&amp;IF(ISERROR(FIND("`",SUBSTITUTE(OFFSET(A44,-1,0,1,1),".","`",2))),VALUE(RIGHT(OFFSET(A44,-1,0,1,1),LEN(OFFSET(A44,-1,0,1,1))-FIND("`",SUBSTITUTE(OFFSET(A44,-1,0,1,1),".","`",1))))+1,VALUE(MID(OFFSET(A44,-1,0,1,1),FIND("`",SUBSTITUTE(OFFSET(A44,-1,0,1,1),".","`",1))+1,(FIND("`",SUBSTITUTE(OFFSET(A44,-1,0,1,1),".","`",2))-FIND("`",SUBSTITUTE(OFFSET(A44,-1,0,1,1),".","`",1))-1)))+1)))</f>
        <v>1.8</v>
      </c>
      <c r="B44" s="114" t="s">
        <v>137</v>
      </c>
      <c r="C44" s="117"/>
      <c r="D44" s="67">
        <v>42064</v>
      </c>
      <c r="E44" s="67">
        <f t="shared" si="7"/>
        <v>42082</v>
      </c>
      <c r="F44" s="68">
        <v>19</v>
      </c>
      <c r="G44" s="71">
        <f>SUMPRODUCT(F45:F51,G45:G51)/SUM(F45:F51)</f>
        <v>0.58750000000000002</v>
      </c>
      <c r="H44" s="68">
        <f t="shared" ref="H44:H48" si="17">NETWORKDAYS(D44,E44)</f>
        <v>14</v>
      </c>
      <c r="I44" s="84">
        <f t="shared" si="12"/>
        <v>11</v>
      </c>
      <c r="J44" s="68">
        <f t="shared" si="13"/>
        <v>8</v>
      </c>
      <c r="K44" s="83">
        <v>100</v>
      </c>
      <c r="IP44" s="87"/>
      <c r="IQ44" s="87"/>
      <c r="IR44" s="87"/>
      <c r="IS44" s="87"/>
      <c r="IT44" s="87"/>
      <c r="IU44" s="87"/>
      <c r="IV44" s="87"/>
    </row>
    <row r="45" spans="1:256" s="33" customFormat="1" ht="16.5" customHeight="1">
      <c r="A45" s="69" t="str">
        <f t="shared" ref="A45:A51" ca="1" si="18">IF(ISERROR(VALUE(SUBSTITUTE(OFFSET(A45,-1,0,1,1),".",""))),"0.0.1",IF(ISERROR(FIND("`",SUBSTITUTE(OFFSET(A45,-1,0,1,1),".","`",2))),OFFSET(A45,-1,0,1,1)&amp;".1",LEFT(OFFSET(A45,-1,0,1,1),FIND("`",SUBSTITUTE(OFFSET(A45,-1,0,1,1),".","`",2)))&amp;IF(ISERROR(FIND("`",SUBSTITUTE(OFFSET(A45,-1,0,1,1),".","`",3))),VALUE(RIGHT(OFFSET(A45,-1,0,1,1),LEN(OFFSET(A45,-1,0,1,1))-FIND("`",SUBSTITUTE(OFFSET(A45,-1,0,1,1),".","`",2))))+1,VALUE(MID(OFFSET(A45,-1,0,1,1),FIND("`",SUBSTITUTE(OFFSET(A45,-1,0,1,1),".","`",2))+1,(FIND("`",SUBSTITUTE(OFFSET(A45,-1,0,1,1),".","`",3))-FIND("`",SUBSTITUTE(OFFSET(A45,-1,0,1,1),".","`",2))-1)))+1)))</f>
        <v>1.8.1</v>
      </c>
      <c r="B45" s="115" t="s">
        <v>204</v>
      </c>
      <c r="C45" s="117" t="s">
        <v>199</v>
      </c>
      <c r="D45" s="67">
        <v>42064</v>
      </c>
      <c r="E45" s="67">
        <f t="shared" ref="E45:E48" si="19">D45+F45-1</f>
        <v>42066</v>
      </c>
      <c r="F45" s="68">
        <v>3</v>
      </c>
      <c r="G45" s="71">
        <v>0.9</v>
      </c>
      <c r="H45" s="68">
        <f t="shared" si="17"/>
        <v>2</v>
      </c>
      <c r="I45" s="84">
        <f t="shared" ref="I45:I48" si="20">ROUNDDOWN(G45*F45,0)</f>
        <v>2</v>
      </c>
      <c r="J45" s="68">
        <f t="shared" ref="J45:J48" si="21">F45-I45</f>
        <v>1</v>
      </c>
      <c r="K45" s="83">
        <v>100</v>
      </c>
      <c r="Y45" s="33" t="s">
        <v>34</v>
      </c>
      <c r="IP45" s="87"/>
      <c r="IQ45" s="87"/>
      <c r="IR45" s="87"/>
      <c r="IS45" s="87"/>
      <c r="IT45" s="87"/>
      <c r="IU45" s="87"/>
      <c r="IV45" s="87"/>
    </row>
    <row r="46" spans="1:256" s="33" customFormat="1" ht="16.5" customHeight="1">
      <c r="A46" s="69" t="str">
        <f t="shared" ca="1" si="18"/>
        <v>1.8.2</v>
      </c>
      <c r="B46" s="115" t="s">
        <v>205</v>
      </c>
      <c r="C46" s="117" t="s">
        <v>199</v>
      </c>
      <c r="D46" s="67">
        <v>42066</v>
      </c>
      <c r="E46" s="67">
        <f t="shared" si="19"/>
        <v>42068</v>
      </c>
      <c r="F46" s="68">
        <v>3</v>
      </c>
      <c r="G46" s="71">
        <v>0.9</v>
      </c>
      <c r="H46" s="68">
        <f t="shared" si="17"/>
        <v>3</v>
      </c>
      <c r="I46" s="84">
        <f t="shared" si="20"/>
        <v>2</v>
      </c>
      <c r="J46" s="68">
        <f t="shared" si="21"/>
        <v>1</v>
      </c>
      <c r="K46" s="83">
        <v>100</v>
      </c>
      <c r="Y46" s="33" t="s">
        <v>34</v>
      </c>
      <c r="IP46" s="87"/>
      <c r="IQ46" s="87"/>
      <c r="IR46" s="87"/>
      <c r="IS46" s="87"/>
      <c r="IT46" s="87"/>
      <c r="IU46" s="87"/>
      <c r="IV46" s="87"/>
    </row>
    <row r="47" spans="1:256" s="33" customFormat="1" ht="16.5" customHeight="1">
      <c r="A47" s="69" t="str">
        <f t="shared" ca="1" si="18"/>
        <v>1.8.3</v>
      </c>
      <c r="B47" s="115" t="s">
        <v>206</v>
      </c>
      <c r="C47" s="117" t="s">
        <v>199</v>
      </c>
      <c r="D47" s="67">
        <v>42067</v>
      </c>
      <c r="E47" s="67">
        <f t="shared" si="19"/>
        <v>42069</v>
      </c>
      <c r="F47" s="68">
        <v>3</v>
      </c>
      <c r="G47" s="71">
        <v>0</v>
      </c>
      <c r="H47" s="68">
        <f t="shared" si="17"/>
        <v>3</v>
      </c>
      <c r="I47" s="84">
        <f t="shared" si="20"/>
        <v>0</v>
      </c>
      <c r="J47" s="68">
        <f t="shared" si="21"/>
        <v>3</v>
      </c>
      <c r="K47" s="83">
        <v>100</v>
      </c>
      <c r="Y47" s="33" t="s">
        <v>34</v>
      </c>
      <c r="IP47" s="87"/>
      <c r="IQ47" s="87"/>
      <c r="IR47" s="87"/>
      <c r="IS47" s="87"/>
      <c r="IT47" s="87"/>
      <c r="IU47" s="87"/>
      <c r="IV47" s="87"/>
    </row>
    <row r="48" spans="1:256" s="33" customFormat="1" ht="16.5" customHeight="1">
      <c r="A48" s="69" t="str">
        <f t="shared" ca="1" si="18"/>
        <v>1.8.4</v>
      </c>
      <c r="B48" s="115" t="s">
        <v>207</v>
      </c>
      <c r="C48" s="117" t="s">
        <v>199</v>
      </c>
      <c r="D48" s="67">
        <v>42068</v>
      </c>
      <c r="E48" s="67">
        <f t="shared" si="19"/>
        <v>42070</v>
      </c>
      <c r="F48" s="68">
        <v>3</v>
      </c>
      <c r="G48" s="71">
        <v>1</v>
      </c>
      <c r="H48" s="68">
        <f t="shared" si="17"/>
        <v>2</v>
      </c>
      <c r="I48" s="84">
        <f t="shared" si="20"/>
        <v>3</v>
      </c>
      <c r="J48" s="68">
        <f t="shared" si="21"/>
        <v>0</v>
      </c>
      <c r="K48" s="83">
        <v>100</v>
      </c>
      <c r="Y48" s="33" t="s">
        <v>34</v>
      </c>
      <c r="IP48" s="87"/>
      <c r="IQ48" s="87"/>
      <c r="IR48" s="87"/>
      <c r="IS48" s="87"/>
      <c r="IT48" s="87"/>
      <c r="IU48" s="87"/>
      <c r="IV48" s="87"/>
    </row>
    <row r="49" spans="1:256" s="33" customFormat="1" ht="16.5" customHeight="1">
      <c r="A49" s="69" t="str">
        <f t="shared" ca="1" si="18"/>
        <v>1.8.5</v>
      </c>
      <c r="B49" s="115" t="s">
        <v>208</v>
      </c>
      <c r="C49" s="117" t="s">
        <v>199</v>
      </c>
      <c r="D49" s="67">
        <v>42069</v>
      </c>
      <c r="E49" s="67">
        <f>D49+F49-1</f>
        <v>42071</v>
      </c>
      <c r="F49" s="68">
        <v>3</v>
      </c>
      <c r="G49" s="71">
        <v>0.9</v>
      </c>
      <c r="H49" s="68">
        <f>NETWORKDAYS(D49,E49)</f>
        <v>1</v>
      </c>
      <c r="I49" s="84">
        <f>ROUNDDOWN(G49*F49,0)</f>
        <v>2</v>
      </c>
      <c r="J49" s="68">
        <f>F49-I49</f>
        <v>1</v>
      </c>
      <c r="K49" s="83">
        <v>100</v>
      </c>
      <c r="Y49" s="33" t="s">
        <v>34</v>
      </c>
      <c r="IP49" s="87"/>
      <c r="IQ49" s="87"/>
      <c r="IR49" s="87"/>
      <c r="IS49" s="87"/>
      <c r="IT49" s="87"/>
      <c r="IU49" s="87"/>
      <c r="IV49" s="87"/>
    </row>
    <row r="50" spans="1:256" s="33" customFormat="1" ht="16.5" customHeight="1">
      <c r="A50" s="69" t="str">
        <f t="shared" ca="1" si="18"/>
        <v>1.8.6</v>
      </c>
      <c r="B50" s="115" t="s">
        <v>209</v>
      </c>
      <c r="C50" s="117" t="s">
        <v>199</v>
      </c>
      <c r="D50" s="67">
        <v>42071</v>
      </c>
      <c r="E50" s="67">
        <f>D50+F50-1</f>
        <v>42073</v>
      </c>
      <c r="F50" s="68">
        <v>3</v>
      </c>
      <c r="G50" s="71">
        <v>1</v>
      </c>
      <c r="H50" s="68">
        <f>NETWORKDAYS(D50,E50)</f>
        <v>2</v>
      </c>
      <c r="I50" s="84">
        <f>ROUNDDOWN(G50*F50,0)</f>
        <v>3</v>
      </c>
      <c r="J50" s="68">
        <f>F50-I50</f>
        <v>0</v>
      </c>
      <c r="K50" s="83">
        <v>100</v>
      </c>
      <c r="Y50" s="33" t="s">
        <v>34</v>
      </c>
      <c r="IP50" s="87"/>
      <c r="IQ50" s="87"/>
      <c r="IR50" s="87"/>
      <c r="IS50" s="87"/>
      <c r="IT50" s="87"/>
      <c r="IU50" s="87"/>
      <c r="IV50" s="87"/>
    </row>
    <row r="51" spans="1:256" s="33" customFormat="1" ht="16.5" customHeight="1">
      <c r="A51" s="69" t="str">
        <f t="shared" ca="1" si="18"/>
        <v>1.8.7</v>
      </c>
      <c r="B51" s="115" t="s">
        <v>138</v>
      </c>
      <c r="C51" s="117" t="s">
        <v>200</v>
      </c>
      <c r="D51" s="67">
        <v>42078</v>
      </c>
      <c r="E51" s="67">
        <f>D51+F51-1</f>
        <v>42083</v>
      </c>
      <c r="F51" s="68">
        <v>6</v>
      </c>
      <c r="G51" s="71">
        <v>0</v>
      </c>
      <c r="H51" s="68">
        <f>NETWORKDAYS(D51,E51)</f>
        <v>5</v>
      </c>
      <c r="I51" s="84">
        <f>ROUNDDOWN(G51*F51,0)</f>
        <v>0</v>
      </c>
      <c r="J51" s="68">
        <f>F51-I51</f>
        <v>6</v>
      </c>
      <c r="K51" s="83">
        <v>100</v>
      </c>
      <c r="Y51" s="33" t="s">
        <v>34</v>
      </c>
      <c r="IP51" s="87"/>
      <c r="IQ51" s="87"/>
      <c r="IR51" s="87"/>
      <c r="IS51" s="87"/>
      <c r="IT51" s="87"/>
      <c r="IU51" s="87"/>
      <c r="IV51" s="87"/>
    </row>
    <row r="52" spans="1:256" s="33" customFormat="1" ht="16.5" customHeight="1">
      <c r="A52" s="69"/>
      <c r="B52" s="115"/>
      <c r="C52" s="70"/>
      <c r="D52" s="67"/>
      <c r="E52" s="63"/>
      <c r="F52" s="68"/>
      <c r="G52" s="71"/>
      <c r="H52" s="68"/>
      <c r="I52" s="84"/>
      <c r="J52" s="68"/>
      <c r="K52" s="83"/>
      <c r="IP52" s="87"/>
      <c r="IQ52" s="87"/>
      <c r="IR52" s="87"/>
      <c r="IS52" s="87"/>
      <c r="IT52" s="87"/>
      <c r="IU52" s="87"/>
      <c r="IV52" s="87"/>
    </row>
    <row r="53" spans="1:256" s="33" customFormat="1" ht="15">
      <c r="A53" s="73">
        <v>2</v>
      </c>
      <c r="B53" s="109" t="s">
        <v>102</v>
      </c>
      <c r="C53" s="119" t="s">
        <v>139</v>
      </c>
      <c r="D53" s="63">
        <f>MIN(D54:D75)</f>
        <v>42069</v>
      </c>
      <c r="E53" s="63">
        <f t="shared" ref="E53:E77" si="22">D53+F53-1</f>
        <v>42082</v>
      </c>
      <c r="F53" s="68">
        <v>14</v>
      </c>
      <c r="G53" s="71">
        <f>SUMPRODUCT(F54:F77,G54:G77)/SUM(F54:F77)</f>
        <v>0.16071428571428573</v>
      </c>
      <c r="H53" s="68">
        <f t="shared" ref="H53:H77" si="23">NETWORKDAYS(D53,E53)</f>
        <v>10</v>
      </c>
      <c r="I53" s="84">
        <f t="shared" ref="I53:I77" si="24">ROUNDDOWN(G53*F53,0)</f>
        <v>2</v>
      </c>
      <c r="J53" s="68">
        <f t="shared" ref="J53:J77" si="25">F53-I53</f>
        <v>12</v>
      </c>
      <c r="K53" s="83">
        <v>100</v>
      </c>
      <c r="IP53" s="87"/>
      <c r="IQ53" s="87"/>
      <c r="IR53" s="87"/>
      <c r="IS53" s="87"/>
      <c r="IT53" s="87"/>
      <c r="IU53" s="87"/>
      <c r="IV53" s="87"/>
    </row>
    <row r="54" spans="1:256" s="33" customFormat="1" ht="16.5" customHeight="1">
      <c r="A54" s="69" t="str">
        <f ca="1">IF(ISERROR(VALUE(SUBSTITUTE(OFFSET(A54,-1,0,1,1),".",""))),"0.1",IF(ISERROR(FIND("`",SUBSTITUTE(OFFSET(A54,-1,0,1,1),".","`",1))),OFFSET(A54,-1,0,1,1)&amp;".1",LEFT(OFFSET(A54,-1,0,1,1),FIND("`",SUBSTITUTE(OFFSET(A54,-1,0,1,1),".","`",1)))&amp;IF(ISERROR(FIND("`",SUBSTITUTE(OFFSET(A54,-1,0,1,1),".","`",2))),VALUE(RIGHT(OFFSET(A54,-1,0,1,1),LEN(OFFSET(A54,-1,0,1,1))-FIND("`",SUBSTITUTE(OFFSET(A54,-1,0,1,1),".","`",1))))+1,VALUE(MID(OFFSET(A54,-1,0,1,1),FIND("`",SUBSTITUTE(OFFSET(A54,-1,0,1,1),".","`",1))+1,(FIND("`",SUBSTITUTE(OFFSET(A54,-1,0,1,1),".","`",2))-FIND("`",SUBSTITUTE(OFFSET(A54,-1,0,1,1),".","`",1))-1)))+1)))</f>
        <v>2.1</v>
      </c>
      <c r="B54" s="110" t="s">
        <v>140</v>
      </c>
      <c r="C54" s="119" t="s">
        <v>139</v>
      </c>
      <c r="D54" s="67">
        <v>42069</v>
      </c>
      <c r="E54" s="67">
        <f t="shared" si="22"/>
        <v>42077</v>
      </c>
      <c r="F54" s="68">
        <v>9</v>
      </c>
      <c r="G54" s="71">
        <f>SUMPRODUCT(F55:F63,G55:G63)/SUM(F55:F63)</f>
        <v>0.33333333333333331</v>
      </c>
      <c r="H54" s="68">
        <f t="shared" si="23"/>
        <v>6</v>
      </c>
      <c r="I54" s="84">
        <f t="shared" si="24"/>
        <v>3</v>
      </c>
      <c r="J54" s="68">
        <f t="shared" si="25"/>
        <v>6</v>
      </c>
      <c r="K54" s="83">
        <v>100</v>
      </c>
      <c r="IP54" s="87"/>
      <c r="IQ54" s="87"/>
      <c r="IR54" s="87"/>
      <c r="IS54" s="87"/>
      <c r="IT54" s="87"/>
      <c r="IU54" s="87"/>
      <c r="IV54" s="87"/>
    </row>
    <row r="55" spans="1:256" s="33" customFormat="1" ht="16.5" customHeight="1">
      <c r="A55" s="69" t="str">
        <f t="shared" ref="A55:A77" ca="1" si="26">IF(ISERROR(VALUE(SUBSTITUTE(OFFSET(A55,-1,0,1,1),".",""))),"0.0.1",IF(ISERROR(FIND("`",SUBSTITUTE(OFFSET(A55,-1,0,1,1),".","`",2))),OFFSET(A55,-1,0,1,1)&amp;".1",LEFT(OFFSET(A55,-1,0,1,1),FIND("`",SUBSTITUTE(OFFSET(A55,-1,0,1,1),".","`",2)))&amp;IF(ISERROR(FIND("`",SUBSTITUTE(OFFSET(A55,-1,0,1,1),".","`",3))),VALUE(RIGHT(OFFSET(A55,-1,0,1,1),LEN(OFFSET(A55,-1,0,1,1))-FIND("`",SUBSTITUTE(OFFSET(A55,-1,0,1,1),".","`",2))))+1,VALUE(MID(OFFSET(A55,-1,0,1,1),FIND("`",SUBSTITUTE(OFFSET(A55,-1,0,1,1),".","`",2))+1,(FIND("`",SUBSTITUTE(OFFSET(A55,-1,0,1,1),".","`",3))-FIND("`",SUBSTITUTE(OFFSET(A55,-1,0,1,1),".","`",2))-1)))+1)))</f>
        <v>2.1.1</v>
      </c>
      <c r="B55" s="111" t="s">
        <v>141</v>
      </c>
      <c r="C55" s="119" t="s">
        <v>139</v>
      </c>
      <c r="D55" s="67">
        <v>42069</v>
      </c>
      <c r="E55" s="67">
        <f t="shared" si="22"/>
        <v>42070</v>
      </c>
      <c r="F55" s="68">
        <v>2</v>
      </c>
      <c r="G55" s="71">
        <v>1</v>
      </c>
      <c r="H55" s="68">
        <f t="shared" si="23"/>
        <v>1</v>
      </c>
      <c r="I55" s="84">
        <f t="shared" si="24"/>
        <v>2</v>
      </c>
      <c r="J55" s="68">
        <f t="shared" si="25"/>
        <v>0</v>
      </c>
      <c r="K55" s="83">
        <v>100</v>
      </c>
      <c r="Y55" s="33" t="s">
        <v>34</v>
      </c>
      <c r="IP55" s="87"/>
      <c r="IQ55" s="87"/>
      <c r="IR55" s="87"/>
      <c r="IS55" s="87"/>
      <c r="IT55" s="87"/>
      <c r="IU55" s="87"/>
      <c r="IV55" s="87"/>
    </row>
    <row r="56" spans="1:256" s="33" customFormat="1" ht="16.5" customHeight="1">
      <c r="A56" s="69" t="str">
        <f t="shared" ca="1" si="26"/>
        <v>2.1.2</v>
      </c>
      <c r="B56" s="111" t="s">
        <v>142</v>
      </c>
      <c r="C56" s="119" t="s">
        <v>139</v>
      </c>
      <c r="D56" s="67">
        <f>E55+1</f>
        <v>42071</v>
      </c>
      <c r="E56" s="67">
        <f t="shared" si="22"/>
        <v>42072</v>
      </c>
      <c r="F56" s="68">
        <v>2</v>
      </c>
      <c r="G56" s="71">
        <v>1</v>
      </c>
      <c r="H56" s="68">
        <f t="shared" si="23"/>
        <v>1</v>
      </c>
      <c r="I56" s="84">
        <f t="shared" si="24"/>
        <v>2</v>
      </c>
      <c r="J56" s="68">
        <f t="shared" si="25"/>
        <v>0</v>
      </c>
      <c r="K56" s="83">
        <v>100</v>
      </c>
      <c r="Y56" s="33" t="s">
        <v>34</v>
      </c>
      <c r="IP56" s="87"/>
      <c r="IQ56" s="87"/>
      <c r="IR56" s="87"/>
      <c r="IS56" s="87"/>
      <c r="IT56" s="87"/>
      <c r="IU56" s="87"/>
      <c r="IV56" s="87"/>
    </row>
    <row r="57" spans="1:256" s="33" customFormat="1" ht="16.5" customHeight="1">
      <c r="A57" s="69" t="str">
        <f t="shared" ca="1" si="26"/>
        <v>2.1.3</v>
      </c>
      <c r="B57" s="111" t="s">
        <v>143</v>
      </c>
      <c r="C57" s="119" t="s">
        <v>139</v>
      </c>
      <c r="D57" s="67">
        <f t="shared" ref="D57:D63" si="27">E56+1</f>
        <v>42073</v>
      </c>
      <c r="E57" s="67">
        <f t="shared" si="22"/>
        <v>42074</v>
      </c>
      <c r="F57" s="68">
        <v>2</v>
      </c>
      <c r="G57" s="71">
        <v>1</v>
      </c>
      <c r="H57" s="68">
        <f t="shared" si="23"/>
        <v>2</v>
      </c>
      <c r="I57" s="84">
        <f t="shared" si="24"/>
        <v>2</v>
      </c>
      <c r="J57" s="68">
        <f t="shared" si="25"/>
        <v>0</v>
      </c>
      <c r="K57" s="83">
        <v>100</v>
      </c>
      <c r="Y57" s="33" t="s">
        <v>34</v>
      </c>
      <c r="IP57" s="87"/>
      <c r="IQ57" s="87"/>
      <c r="IR57" s="87"/>
      <c r="IS57" s="87"/>
      <c r="IT57" s="87"/>
      <c r="IU57" s="87"/>
      <c r="IV57" s="87"/>
    </row>
    <row r="58" spans="1:256" s="33" customFormat="1" ht="16.5" customHeight="1">
      <c r="A58" s="69" t="str">
        <f t="shared" ca="1" si="26"/>
        <v>2.1.4</v>
      </c>
      <c r="B58" s="111" t="s">
        <v>144</v>
      </c>
      <c r="C58" s="119" t="s">
        <v>139</v>
      </c>
      <c r="D58" s="67">
        <f t="shared" si="27"/>
        <v>42075</v>
      </c>
      <c r="E58" s="67">
        <f t="shared" si="22"/>
        <v>42076</v>
      </c>
      <c r="F58" s="68">
        <v>2</v>
      </c>
      <c r="G58" s="71">
        <v>0</v>
      </c>
      <c r="H58" s="68">
        <f t="shared" si="23"/>
        <v>2</v>
      </c>
      <c r="I58" s="84">
        <f t="shared" si="24"/>
        <v>0</v>
      </c>
      <c r="J58" s="68">
        <f t="shared" si="25"/>
        <v>2</v>
      </c>
      <c r="K58" s="83">
        <v>100</v>
      </c>
      <c r="Y58" s="33" t="s">
        <v>34</v>
      </c>
      <c r="IP58" s="87"/>
      <c r="IQ58" s="87"/>
      <c r="IR58" s="87"/>
      <c r="IS58" s="87"/>
      <c r="IT58" s="87"/>
      <c r="IU58" s="87"/>
      <c r="IV58" s="87"/>
    </row>
    <row r="59" spans="1:256" s="33" customFormat="1" ht="16.5" customHeight="1">
      <c r="A59" s="69" t="str">
        <f t="shared" ca="1" si="26"/>
        <v>2.1.5</v>
      </c>
      <c r="B59" s="111" t="s">
        <v>145</v>
      </c>
      <c r="C59" s="119" t="s">
        <v>139</v>
      </c>
      <c r="D59" s="67">
        <f t="shared" si="27"/>
        <v>42077</v>
      </c>
      <c r="E59" s="67">
        <f t="shared" si="22"/>
        <v>42078</v>
      </c>
      <c r="F59" s="68">
        <v>2</v>
      </c>
      <c r="G59" s="71">
        <v>0</v>
      </c>
      <c r="H59" s="68">
        <f t="shared" si="23"/>
        <v>0</v>
      </c>
      <c r="I59" s="84">
        <f t="shared" si="24"/>
        <v>0</v>
      </c>
      <c r="J59" s="68">
        <f t="shared" si="25"/>
        <v>2</v>
      </c>
      <c r="K59" s="83">
        <v>100</v>
      </c>
      <c r="Y59" s="33" t="s">
        <v>34</v>
      </c>
      <c r="IP59" s="87"/>
      <c r="IQ59" s="87"/>
      <c r="IR59" s="87"/>
      <c r="IS59" s="87"/>
      <c r="IT59" s="87"/>
      <c r="IU59" s="87"/>
      <c r="IV59" s="87"/>
    </row>
    <row r="60" spans="1:256" s="33" customFormat="1" ht="16.5" customHeight="1">
      <c r="A60" s="69" t="str">
        <f t="shared" ca="1" si="26"/>
        <v>2.1.6</v>
      </c>
      <c r="B60" s="111" t="s">
        <v>146</v>
      </c>
      <c r="C60" s="119" t="s">
        <v>139</v>
      </c>
      <c r="D60" s="67">
        <f t="shared" si="27"/>
        <v>42079</v>
      </c>
      <c r="E60" s="67">
        <f t="shared" si="22"/>
        <v>42080</v>
      </c>
      <c r="F60" s="68">
        <v>2</v>
      </c>
      <c r="G60" s="71">
        <v>0</v>
      </c>
      <c r="H60" s="68">
        <f t="shared" si="23"/>
        <v>2</v>
      </c>
      <c r="I60" s="84">
        <f t="shared" si="24"/>
        <v>0</v>
      </c>
      <c r="J60" s="68">
        <f t="shared" si="25"/>
        <v>2</v>
      </c>
      <c r="K60" s="83">
        <v>100</v>
      </c>
      <c r="Y60" s="33" t="s">
        <v>34</v>
      </c>
      <c r="IP60" s="87"/>
      <c r="IQ60" s="87"/>
      <c r="IR60" s="87"/>
      <c r="IS60" s="87"/>
      <c r="IT60" s="87"/>
      <c r="IU60" s="87"/>
      <c r="IV60" s="87"/>
    </row>
    <row r="61" spans="1:256" s="33" customFormat="1" ht="16.5" customHeight="1">
      <c r="A61" s="69" t="str">
        <f t="shared" ca="1" si="26"/>
        <v>2.1.7</v>
      </c>
      <c r="B61" s="111" t="s">
        <v>147</v>
      </c>
      <c r="C61" s="119" t="s">
        <v>139</v>
      </c>
      <c r="D61" s="67">
        <f t="shared" si="27"/>
        <v>42081</v>
      </c>
      <c r="E61" s="67">
        <f t="shared" si="22"/>
        <v>42082</v>
      </c>
      <c r="F61" s="68">
        <v>2</v>
      </c>
      <c r="G61" s="71">
        <v>0</v>
      </c>
      <c r="H61" s="68">
        <f t="shared" si="23"/>
        <v>2</v>
      </c>
      <c r="I61" s="84">
        <f t="shared" si="24"/>
        <v>0</v>
      </c>
      <c r="J61" s="68">
        <f t="shared" si="25"/>
        <v>2</v>
      </c>
      <c r="K61" s="83">
        <v>100</v>
      </c>
      <c r="Y61" s="33" t="s">
        <v>34</v>
      </c>
      <c r="IP61" s="87"/>
      <c r="IQ61" s="87"/>
      <c r="IR61" s="87"/>
      <c r="IS61" s="87"/>
      <c r="IT61" s="87"/>
      <c r="IU61" s="87"/>
      <c r="IV61" s="87"/>
    </row>
    <row r="62" spans="1:256" s="33" customFormat="1" ht="16.5" customHeight="1">
      <c r="A62" s="69" t="str">
        <f t="shared" ca="1" si="26"/>
        <v>2.1.8</v>
      </c>
      <c r="B62" s="111" t="s">
        <v>148</v>
      </c>
      <c r="C62" s="119" t="s">
        <v>139</v>
      </c>
      <c r="D62" s="67">
        <f t="shared" si="27"/>
        <v>42083</v>
      </c>
      <c r="E62" s="67">
        <f t="shared" si="22"/>
        <v>42084</v>
      </c>
      <c r="F62" s="68">
        <v>2</v>
      </c>
      <c r="G62" s="71">
        <v>0</v>
      </c>
      <c r="H62" s="68">
        <f t="shared" si="23"/>
        <v>1</v>
      </c>
      <c r="I62" s="84">
        <f t="shared" si="24"/>
        <v>0</v>
      </c>
      <c r="J62" s="68">
        <f t="shared" si="25"/>
        <v>2</v>
      </c>
      <c r="K62" s="83">
        <v>100</v>
      </c>
      <c r="Y62" s="33" t="s">
        <v>34</v>
      </c>
      <c r="IP62" s="87"/>
      <c r="IQ62" s="87"/>
      <c r="IR62" s="87"/>
      <c r="IS62" s="87"/>
      <c r="IT62" s="87"/>
      <c r="IU62" s="87"/>
      <c r="IV62" s="87"/>
    </row>
    <row r="63" spans="1:256" s="33" customFormat="1" ht="16.5" customHeight="1">
      <c r="A63" s="69" t="str">
        <f t="shared" ca="1" si="26"/>
        <v>2.1.9</v>
      </c>
      <c r="B63" s="111" t="s">
        <v>149</v>
      </c>
      <c r="C63" s="119" t="s">
        <v>139</v>
      </c>
      <c r="D63" s="67">
        <f t="shared" si="27"/>
        <v>42085</v>
      </c>
      <c r="E63" s="67">
        <f t="shared" si="22"/>
        <v>42086</v>
      </c>
      <c r="F63" s="68">
        <v>2</v>
      </c>
      <c r="G63" s="71">
        <v>0</v>
      </c>
      <c r="H63" s="68">
        <f t="shared" si="23"/>
        <v>1</v>
      </c>
      <c r="I63" s="84">
        <f t="shared" si="24"/>
        <v>0</v>
      </c>
      <c r="J63" s="68">
        <f t="shared" si="25"/>
        <v>2</v>
      </c>
      <c r="K63" s="83">
        <v>100</v>
      </c>
      <c r="Y63" s="33" t="s">
        <v>34</v>
      </c>
      <c r="IP63" s="87"/>
      <c r="IQ63" s="87"/>
      <c r="IR63" s="87"/>
      <c r="IS63" s="87"/>
      <c r="IT63" s="87"/>
      <c r="IU63" s="87"/>
      <c r="IV63" s="87"/>
    </row>
    <row r="64" spans="1:256" s="33" customFormat="1" ht="16.5" customHeight="1">
      <c r="A64" s="69" t="str">
        <f ca="1">IF(ISERROR(VALUE(SUBSTITUTE(OFFSET(A64,-1,0,1,1),".",""))),"0.1",IF(ISERROR(FIND("`",SUBSTITUTE(OFFSET(A64,-1,0,1,1),".","`",1))),OFFSET(A64,-1,0,1,1)&amp;".1",LEFT(OFFSET(A64,-1,0,1,1),FIND("`",SUBSTITUTE(OFFSET(A64,-1,0,1,1),".","`",1)))&amp;IF(ISERROR(FIND("`",SUBSTITUTE(OFFSET(A64,-1,0,1,1),".","`",2))),VALUE(RIGHT(OFFSET(A64,-1,0,1,1),LEN(OFFSET(A64,-1,0,1,1))-FIND("`",SUBSTITUTE(OFFSET(A64,-1,0,1,1),".","`",1))))+1,VALUE(MID(OFFSET(A64,-1,0,1,1),FIND("`",SUBSTITUTE(OFFSET(A64,-1,0,1,1),".","`",1))+1,(FIND("`",SUBSTITUTE(OFFSET(A64,-1,0,1,1),".","`",2))-FIND("`",SUBSTITUTE(OFFSET(A64,-1,0,1,1),".","`",1))-1)))+1)))</f>
        <v>2.2</v>
      </c>
      <c r="B64" s="114" t="s">
        <v>150</v>
      </c>
      <c r="C64" s="119" t="s">
        <v>213</v>
      </c>
      <c r="D64" s="67">
        <v>42078</v>
      </c>
      <c r="E64" s="67">
        <f t="shared" si="22"/>
        <v>42082</v>
      </c>
      <c r="F64" s="68">
        <v>5</v>
      </c>
      <c r="G64" s="71">
        <f>SUMPRODUCT(F65:F72,G65:G72)/SUM(F65:F72)</f>
        <v>0</v>
      </c>
      <c r="H64" s="68">
        <f t="shared" si="23"/>
        <v>4</v>
      </c>
      <c r="I64" s="84">
        <f t="shared" si="24"/>
        <v>0</v>
      </c>
      <c r="J64" s="68">
        <f t="shared" si="25"/>
        <v>5</v>
      </c>
      <c r="K64" s="83">
        <v>100</v>
      </c>
      <c r="IP64" s="87"/>
      <c r="IQ64" s="87"/>
      <c r="IR64" s="87"/>
      <c r="IS64" s="87"/>
      <c r="IT64" s="87"/>
      <c r="IU64" s="87"/>
      <c r="IV64" s="87"/>
    </row>
    <row r="65" spans="1:256" s="33" customFormat="1" ht="16.5" customHeight="1">
      <c r="A65" s="69" t="str">
        <f t="shared" ca="1" si="26"/>
        <v>2.2.1</v>
      </c>
      <c r="B65" s="111" t="s">
        <v>151</v>
      </c>
      <c r="C65" s="119" t="s">
        <v>213</v>
      </c>
      <c r="D65" s="67">
        <v>42078</v>
      </c>
      <c r="E65" s="67">
        <f t="shared" si="22"/>
        <v>42079</v>
      </c>
      <c r="F65" s="68">
        <v>2</v>
      </c>
      <c r="G65" s="71">
        <v>0</v>
      </c>
      <c r="H65" s="68">
        <f t="shared" si="23"/>
        <v>1</v>
      </c>
      <c r="I65" s="84">
        <f t="shared" si="24"/>
        <v>0</v>
      </c>
      <c r="J65" s="68">
        <f t="shared" si="25"/>
        <v>2</v>
      </c>
      <c r="K65" s="83">
        <v>100</v>
      </c>
      <c r="Y65" s="33" t="s">
        <v>34</v>
      </c>
      <c r="IP65" s="87"/>
      <c r="IQ65" s="87"/>
      <c r="IR65" s="87"/>
      <c r="IS65" s="87"/>
      <c r="IT65" s="87"/>
      <c r="IU65" s="87"/>
      <c r="IV65" s="87"/>
    </row>
    <row r="66" spans="1:256" s="33" customFormat="1" ht="16.5" customHeight="1">
      <c r="A66" s="69" t="str">
        <f t="shared" ca="1" si="26"/>
        <v>2.2.2</v>
      </c>
      <c r="B66" s="111" t="s">
        <v>152</v>
      </c>
      <c r="C66" s="119" t="s">
        <v>213</v>
      </c>
      <c r="D66" s="67">
        <v>42078</v>
      </c>
      <c r="E66" s="67">
        <f t="shared" si="22"/>
        <v>42079</v>
      </c>
      <c r="F66" s="68">
        <v>2</v>
      </c>
      <c r="G66" s="71">
        <v>0</v>
      </c>
      <c r="H66" s="68">
        <f t="shared" si="23"/>
        <v>1</v>
      </c>
      <c r="I66" s="84">
        <f t="shared" si="24"/>
        <v>0</v>
      </c>
      <c r="J66" s="68">
        <f t="shared" si="25"/>
        <v>2</v>
      </c>
      <c r="K66" s="83">
        <v>100</v>
      </c>
      <c r="Y66" s="33" t="s">
        <v>34</v>
      </c>
      <c r="IP66" s="87"/>
      <c r="IQ66" s="87"/>
      <c r="IR66" s="87"/>
      <c r="IS66" s="87"/>
      <c r="IT66" s="87"/>
      <c r="IU66" s="87"/>
      <c r="IV66" s="87"/>
    </row>
    <row r="67" spans="1:256" s="33" customFormat="1" ht="16.5" customHeight="1">
      <c r="A67" s="69" t="str">
        <f t="shared" ca="1" si="26"/>
        <v>2.2.3</v>
      </c>
      <c r="B67" s="111" t="s">
        <v>153</v>
      </c>
      <c r="C67" s="119" t="s">
        <v>213</v>
      </c>
      <c r="D67" s="67">
        <v>42079</v>
      </c>
      <c r="E67" s="67">
        <f t="shared" si="22"/>
        <v>42080</v>
      </c>
      <c r="F67" s="68">
        <v>2</v>
      </c>
      <c r="G67" s="71">
        <v>0</v>
      </c>
      <c r="H67" s="68">
        <f t="shared" si="23"/>
        <v>2</v>
      </c>
      <c r="I67" s="84">
        <f t="shared" si="24"/>
        <v>0</v>
      </c>
      <c r="J67" s="68">
        <f t="shared" si="25"/>
        <v>2</v>
      </c>
      <c r="K67" s="83">
        <v>100</v>
      </c>
      <c r="Y67" s="33" t="s">
        <v>34</v>
      </c>
      <c r="IP67" s="87"/>
      <c r="IQ67" s="87"/>
      <c r="IR67" s="87"/>
      <c r="IS67" s="87"/>
      <c r="IT67" s="87"/>
      <c r="IU67" s="87"/>
      <c r="IV67" s="87"/>
    </row>
    <row r="68" spans="1:256" s="33" customFormat="1" ht="16.5" customHeight="1">
      <c r="A68" s="69" t="str">
        <f t="shared" ca="1" si="26"/>
        <v>2.2.4</v>
      </c>
      <c r="B68" s="111" t="s">
        <v>154</v>
      </c>
      <c r="C68" s="119" t="s">
        <v>213</v>
      </c>
      <c r="D68" s="67">
        <v>42079</v>
      </c>
      <c r="E68" s="67">
        <f t="shared" si="22"/>
        <v>42080</v>
      </c>
      <c r="F68" s="68">
        <v>2</v>
      </c>
      <c r="G68" s="71">
        <v>0</v>
      </c>
      <c r="H68" s="68">
        <f t="shared" si="23"/>
        <v>2</v>
      </c>
      <c r="I68" s="84">
        <f t="shared" si="24"/>
        <v>0</v>
      </c>
      <c r="J68" s="68">
        <f t="shared" si="25"/>
        <v>2</v>
      </c>
      <c r="K68" s="83">
        <v>100</v>
      </c>
      <c r="Y68" s="33" t="s">
        <v>34</v>
      </c>
      <c r="IP68" s="87"/>
      <c r="IQ68" s="87"/>
      <c r="IR68" s="87"/>
      <c r="IS68" s="87"/>
      <c r="IT68" s="87"/>
      <c r="IU68" s="87"/>
      <c r="IV68" s="87"/>
    </row>
    <row r="69" spans="1:256" s="33" customFormat="1" ht="16.5" customHeight="1">
      <c r="A69" s="69" t="str">
        <f t="shared" ca="1" si="26"/>
        <v>2.2.5</v>
      </c>
      <c r="B69" s="111" t="s">
        <v>155</v>
      </c>
      <c r="C69" s="119" t="s">
        <v>213</v>
      </c>
      <c r="D69" s="67">
        <v>42080</v>
      </c>
      <c r="E69" s="67">
        <f t="shared" si="22"/>
        <v>42081</v>
      </c>
      <c r="F69" s="68">
        <v>2</v>
      </c>
      <c r="G69" s="71">
        <v>0</v>
      </c>
      <c r="H69" s="68">
        <f t="shared" si="23"/>
        <v>2</v>
      </c>
      <c r="I69" s="84">
        <f t="shared" si="24"/>
        <v>0</v>
      </c>
      <c r="J69" s="68">
        <f t="shared" si="25"/>
        <v>2</v>
      </c>
      <c r="K69" s="83">
        <v>100</v>
      </c>
      <c r="Y69" s="33" t="s">
        <v>34</v>
      </c>
      <c r="IP69" s="87"/>
      <c r="IQ69" s="87"/>
      <c r="IR69" s="87"/>
      <c r="IS69" s="87"/>
      <c r="IT69" s="87"/>
      <c r="IU69" s="87"/>
      <c r="IV69" s="87"/>
    </row>
    <row r="70" spans="1:256" s="33" customFormat="1" ht="16.5" customHeight="1">
      <c r="A70" s="69" t="str">
        <f t="shared" ca="1" si="26"/>
        <v>2.2.6</v>
      </c>
      <c r="B70" s="111" t="s">
        <v>156</v>
      </c>
      <c r="C70" s="119" t="s">
        <v>213</v>
      </c>
      <c r="D70" s="67">
        <v>42080</v>
      </c>
      <c r="E70" s="67">
        <f t="shared" si="22"/>
        <v>42081</v>
      </c>
      <c r="F70" s="68">
        <v>2</v>
      </c>
      <c r="G70" s="71">
        <v>0</v>
      </c>
      <c r="H70" s="68">
        <f t="shared" si="23"/>
        <v>2</v>
      </c>
      <c r="I70" s="84">
        <f t="shared" si="24"/>
        <v>0</v>
      </c>
      <c r="J70" s="68">
        <f t="shared" si="25"/>
        <v>2</v>
      </c>
      <c r="K70" s="83">
        <v>100</v>
      </c>
      <c r="Y70" s="33" t="s">
        <v>34</v>
      </c>
      <c r="IP70" s="87"/>
      <c r="IQ70" s="87"/>
      <c r="IR70" s="87"/>
      <c r="IS70" s="87"/>
      <c r="IT70" s="87"/>
      <c r="IU70" s="87"/>
      <c r="IV70" s="87"/>
    </row>
    <row r="71" spans="1:256" s="33" customFormat="1" ht="16.5" customHeight="1">
      <c r="A71" s="69" t="str">
        <f t="shared" ca="1" si="26"/>
        <v>2.2.7</v>
      </c>
      <c r="B71" s="111" t="s">
        <v>157</v>
      </c>
      <c r="C71" s="119" t="s">
        <v>213</v>
      </c>
      <c r="D71" s="67">
        <v>42080</v>
      </c>
      <c r="E71" s="67">
        <f t="shared" si="22"/>
        <v>42081</v>
      </c>
      <c r="F71" s="68">
        <v>2</v>
      </c>
      <c r="G71" s="71">
        <v>0</v>
      </c>
      <c r="H71" s="68">
        <f t="shared" si="23"/>
        <v>2</v>
      </c>
      <c r="I71" s="84">
        <f t="shared" si="24"/>
        <v>0</v>
      </c>
      <c r="J71" s="68">
        <f t="shared" si="25"/>
        <v>2</v>
      </c>
      <c r="K71" s="83">
        <v>100</v>
      </c>
      <c r="Y71" s="33" t="s">
        <v>34</v>
      </c>
      <c r="IP71" s="87"/>
      <c r="IQ71" s="87"/>
      <c r="IR71" s="87"/>
      <c r="IS71" s="87"/>
      <c r="IT71" s="87"/>
      <c r="IU71" s="87"/>
      <c r="IV71" s="87"/>
    </row>
    <row r="72" spans="1:256" s="33" customFormat="1" ht="16.5" customHeight="1">
      <c r="A72" s="69" t="str">
        <f t="shared" ca="1" si="26"/>
        <v>2.2.8</v>
      </c>
      <c r="B72" s="111" t="s">
        <v>158</v>
      </c>
      <c r="C72" s="119" t="s">
        <v>213</v>
      </c>
      <c r="D72" s="67">
        <v>42080</v>
      </c>
      <c r="E72" s="67">
        <f t="shared" si="22"/>
        <v>42081</v>
      </c>
      <c r="F72" s="68">
        <v>2</v>
      </c>
      <c r="G72" s="71">
        <v>0</v>
      </c>
      <c r="H72" s="68">
        <f t="shared" si="23"/>
        <v>2</v>
      </c>
      <c r="I72" s="84">
        <f t="shared" si="24"/>
        <v>0</v>
      </c>
      <c r="J72" s="68">
        <f t="shared" si="25"/>
        <v>2</v>
      </c>
      <c r="K72" s="83">
        <v>100</v>
      </c>
      <c r="Y72" s="33" t="s">
        <v>34</v>
      </c>
      <c r="IP72" s="87"/>
      <c r="IQ72" s="87"/>
      <c r="IR72" s="87"/>
      <c r="IS72" s="87"/>
      <c r="IT72" s="87"/>
      <c r="IU72" s="87"/>
      <c r="IV72" s="87"/>
    </row>
    <row r="73" spans="1:256" s="33" customFormat="1" ht="16.5" customHeight="1">
      <c r="A73" s="69" t="str">
        <f ca="1">IF(ISERROR(VALUE(SUBSTITUTE(OFFSET(A73,-1,0,1,1),".",""))),"0.1",IF(ISERROR(FIND("`",SUBSTITUTE(OFFSET(A73,-1,0,1,1),".","`",1))),OFFSET(A73,-1,0,1,1)&amp;".1",LEFT(OFFSET(A73,-1,0,1,1),FIND("`",SUBSTITUTE(OFFSET(A73,-1,0,1,1),".","`",1)))&amp;IF(ISERROR(FIND("`",SUBSTITUTE(OFFSET(A73,-1,0,1,1),".","`",2))),VALUE(RIGHT(OFFSET(A73,-1,0,1,1),LEN(OFFSET(A73,-1,0,1,1))-FIND("`",SUBSTITUTE(OFFSET(A73,-1,0,1,1),".","`",1))))+1,VALUE(MID(OFFSET(A73,-1,0,1,1),FIND("`",SUBSTITUTE(OFFSET(A73,-1,0,1,1),".","`",1))+1,(FIND("`",SUBSTITUTE(OFFSET(A73,-1,0,1,1),".","`",2))-FIND("`",SUBSTITUTE(OFFSET(A73,-1,0,1,1),".","`",1))-1)))+1)))</f>
        <v>2.3</v>
      </c>
      <c r="B73" s="110" t="s">
        <v>159</v>
      </c>
      <c r="C73" s="119" t="s">
        <v>139</v>
      </c>
      <c r="D73" s="67">
        <v>42081</v>
      </c>
      <c r="E73" s="67">
        <f t="shared" si="22"/>
        <v>42082</v>
      </c>
      <c r="F73" s="68">
        <v>2</v>
      </c>
      <c r="G73" s="71">
        <f>SUMPRODUCT(F74:F77,G74:G77)/SUM(F74:F77)</f>
        <v>0</v>
      </c>
      <c r="H73" s="68">
        <f t="shared" si="23"/>
        <v>2</v>
      </c>
      <c r="I73" s="84">
        <f t="shared" si="24"/>
        <v>0</v>
      </c>
      <c r="J73" s="68">
        <f t="shared" si="25"/>
        <v>2</v>
      </c>
      <c r="K73" s="83">
        <v>100</v>
      </c>
      <c r="IP73" s="87"/>
      <c r="IQ73" s="87"/>
      <c r="IR73" s="87"/>
      <c r="IS73" s="87"/>
      <c r="IT73" s="87"/>
      <c r="IU73" s="87"/>
      <c r="IV73" s="87"/>
    </row>
    <row r="74" spans="1:256" s="33" customFormat="1" ht="16.5" customHeight="1">
      <c r="A74" s="69" t="str">
        <f t="shared" ca="1" si="26"/>
        <v>2.3.1</v>
      </c>
      <c r="B74" s="111" t="s">
        <v>160</v>
      </c>
      <c r="C74" s="119" t="s">
        <v>139</v>
      </c>
      <c r="D74" s="67">
        <v>42081</v>
      </c>
      <c r="E74" s="67">
        <f t="shared" si="22"/>
        <v>42082</v>
      </c>
      <c r="F74" s="68">
        <v>2</v>
      </c>
      <c r="G74" s="71">
        <v>0</v>
      </c>
      <c r="H74" s="68">
        <f t="shared" si="23"/>
        <v>2</v>
      </c>
      <c r="I74" s="84">
        <f t="shared" si="24"/>
        <v>0</v>
      </c>
      <c r="J74" s="68">
        <f t="shared" si="25"/>
        <v>2</v>
      </c>
      <c r="K74" s="83">
        <v>100</v>
      </c>
      <c r="Y74" s="33" t="s">
        <v>34</v>
      </c>
      <c r="IP74" s="87"/>
      <c r="IQ74" s="87"/>
      <c r="IR74" s="87"/>
      <c r="IS74" s="87"/>
      <c r="IT74" s="87"/>
      <c r="IU74" s="87"/>
      <c r="IV74" s="87"/>
    </row>
    <row r="75" spans="1:256" s="33" customFormat="1" ht="16.5" customHeight="1">
      <c r="A75" s="69" t="str">
        <f t="shared" ca="1" si="26"/>
        <v>2.3.2</v>
      </c>
      <c r="B75" s="111" t="s">
        <v>161</v>
      </c>
      <c r="C75" s="119" t="s">
        <v>139</v>
      </c>
      <c r="D75" s="67">
        <v>42081</v>
      </c>
      <c r="E75" s="67">
        <f t="shared" si="22"/>
        <v>42082</v>
      </c>
      <c r="F75" s="68">
        <v>2</v>
      </c>
      <c r="G75" s="71">
        <v>0</v>
      </c>
      <c r="H75" s="68">
        <f t="shared" si="23"/>
        <v>2</v>
      </c>
      <c r="I75" s="84">
        <f t="shared" si="24"/>
        <v>0</v>
      </c>
      <c r="J75" s="68">
        <f t="shared" si="25"/>
        <v>2</v>
      </c>
      <c r="K75" s="83">
        <v>100</v>
      </c>
      <c r="Y75" s="33" t="s">
        <v>34</v>
      </c>
      <c r="IP75" s="87"/>
      <c r="IQ75" s="87"/>
      <c r="IR75" s="87"/>
      <c r="IS75" s="87"/>
      <c r="IT75" s="87"/>
      <c r="IU75" s="87"/>
      <c r="IV75" s="87"/>
    </row>
    <row r="76" spans="1:256" s="33" customFormat="1" ht="16.5" customHeight="1">
      <c r="A76" s="69" t="str">
        <f t="shared" ca="1" si="26"/>
        <v>2.3.3</v>
      </c>
      <c r="B76" s="111" t="s">
        <v>162</v>
      </c>
      <c r="C76" s="119" t="s">
        <v>139</v>
      </c>
      <c r="D76" s="67">
        <v>42082</v>
      </c>
      <c r="E76" s="67">
        <f t="shared" si="22"/>
        <v>42082</v>
      </c>
      <c r="F76" s="68">
        <v>1</v>
      </c>
      <c r="G76" s="71">
        <v>0</v>
      </c>
      <c r="H76" s="68">
        <f t="shared" si="23"/>
        <v>1</v>
      </c>
      <c r="I76" s="84">
        <f t="shared" si="24"/>
        <v>0</v>
      </c>
      <c r="J76" s="68">
        <f t="shared" si="25"/>
        <v>1</v>
      </c>
      <c r="K76" s="83">
        <v>100</v>
      </c>
      <c r="Y76" s="33" t="s">
        <v>34</v>
      </c>
      <c r="IP76" s="87"/>
      <c r="IQ76" s="87"/>
      <c r="IR76" s="87"/>
      <c r="IS76" s="87"/>
      <c r="IT76" s="87"/>
      <c r="IU76" s="87"/>
      <c r="IV76" s="87"/>
    </row>
    <row r="77" spans="1:256" s="33" customFormat="1" ht="16.5" customHeight="1">
      <c r="A77" s="69" t="str">
        <f t="shared" ca="1" si="26"/>
        <v>2.3.4</v>
      </c>
      <c r="B77" s="111" t="s">
        <v>163</v>
      </c>
      <c r="C77" s="119" t="s">
        <v>139</v>
      </c>
      <c r="D77" s="67">
        <v>42082</v>
      </c>
      <c r="E77" s="67">
        <f t="shared" si="22"/>
        <v>42082</v>
      </c>
      <c r="F77" s="68">
        <v>1</v>
      </c>
      <c r="G77" s="71">
        <v>0</v>
      </c>
      <c r="H77" s="68">
        <f t="shared" si="23"/>
        <v>1</v>
      </c>
      <c r="I77" s="84">
        <f t="shared" si="24"/>
        <v>0</v>
      </c>
      <c r="J77" s="68">
        <f t="shared" si="25"/>
        <v>1</v>
      </c>
      <c r="K77" s="83">
        <v>100</v>
      </c>
      <c r="Y77" s="33" t="s">
        <v>34</v>
      </c>
      <c r="IP77" s="87"/>
      <c r="IQ77" s="87"/>
      <c r="IR77" s="87"/>
      <c r="IS77" s="87"/>
      <c r="IT77" s="87"/>
      <c r="IU77" s="87"/>
      <c r="IV77" s="87"/>
    </row>
    <row r="78" spans="1:256" s="33" customFormat="1" ht="16.5" customHeight="1">
      <c r="A78" s="69"/>
      <c r="B78" s="111"/>
      <c r="C78" s="70"/>
      <c r="D78" s="63"/>
      <c r="E78" s="63"/>
      <c r="F78" s="68"/>
      <c r="G78" s="71"/>
      <c r="H78" s="68"/>
      <c r="I78" s="84"/>
      <c r="J78" s="68"/>
      <c r="K78" s="83"/>
      <c r="IP78" s="87"/>
      <c r="IQ78" s="87"/>
      <c r="IR78" s="87"/>
      <c r="IS78" s="87"/>
      <c r="IT78" s="87"/>
      <c r="IU78" s="87"/>
      <c r="IV78" s="87"/>
    </row>
    <row r="79" spans="1:256" s="33" customFormat="1" ht="16.5" customHeight="1">
      <c r="A79" s="73">
        <v>3</v>
      </c>
      <c r="B79" s="109" t="s">
        <v>103</v>
      </c>
      <c r="C79" s="119" t="s">
        <v>139</v>
      </c>
      <c r="D79" s="63">
        <f>MIN(D80:D111)</f>
        <v>42064</v>
      </c>
      <c r="E79" s="63">
        <f>D79+F79-1</f>
        <v>42068</v>
      </c>
      <c r="F79" s="68">
        <v>5</v>
      </c>
      <c r="G79" s="71">
        <f>SUMPRODUCT(F80:F111,G80:G111)/SUM(F80:F111)</f>
        <v>1</v>
      </c>
      <c r="H79" s="68">
        <f>NETWORKDAYS(D79,E79)</f>
        <v>4</v>
      </c>
      <c r="I79" s="84">
        <f>ROUNDDOWN(G79*F79,0)</f>
        <v>5</v>
      </c>
      <c r="J79" s="68">
        <f>F79-I79</f>
        <v>0</v>
      </c>
      <c r="K79" s="83">
        <v>100</v>
      </c>
      <c r="IP79" s="87"/>
      <c r="IQ79" s="87"/>
      <c r="IR79" s="87"/>
      <c r="IS79" s="87"/>
      <c r="IT79" s="87"/>
      <c r="IU79" s="87"/>
      <c r="IV79" s="87"/>
    </row>
    <row r="80" spans="1:256" s="33" customFormat="1" ht="16.5" customHeight="1">
      <c r="A80" s="69" t="str">
        <f ca="1">IF(ISERROR(VALUE(SUBSTITUTE(OFFSET(A80,-1,0,1,1),".",""))),"0.1",IF(ISERROR(FIND("`",SUBSTITUTE(OFFSET(A80,-1,0,1,1),".","`",1))),OFFSET(A80,-1,0,1,1)&amp;".1",LEFT(OFFSET(A80,-1,0,1,1),FIND("`",SUBSTITUTE(OFFSET(A80,-1,0,1,1),".","`",1)))&amp;IF(ISERROR(FIND("`",SUBSTITUTE(OFFSET(A80,-1,0,1,1),".","`",2))),VALUE(RIGHT(OFFSET(A80,-1,0,1,1),LEN(OFFSET(A80,-1,0,1,1))-FIND("`",SUBSTITUTE(OFFSET(A80,-1,0,1,1),".","`",1))))+1,VALUE(MID(OFFSET(A80,-1,0,1,1),FIND("`",SUBSTITUTE(OFFSET(A80,-1,0,1,1),".","`",1))+1,(FIND("`",SUBSTITUTE(OFFSET(A80,-1,0,1,1),".","`",2))-FIND("`",SUBSTITUTE(OFFSET(A80,-1,0,1,1),".","`",1))-1)))+1)))</f>
        <v>3.1</v>
      </c>
      <c r="B80" s="118" t="s">
        <v>164</v>
      </c>
      <c r="C80" s="119" t="s">
        <v>139</v>
      </c>
      <c r="D80" s="67">
        <v>42064</v>
      </c>
      <c r="E80" s="67">
        <f>D80+F80-1</f>
        <v>42064</v>
      </c>
      <c r="F80" s="68">
        <v>1</v>
      </c>
      <c r="G80" s="71">
        <v>1</v>
      </c>
      <c r="H80" s="68">
        <f>NETWORKDAYS(D80,E80)</f>
        <v>0</v>
      </c>
      <c r="I80" s="84">
        <f>ROUNDDOWN(G80*F80,0)</f>
        <v>1</v>
      </c>
      <c r="J80" s="68">
        <f>F80-I80</f>
        <v>0</v>
      </c>
      <c r="K80" s="83">
        <v>100</v>
      </c>
      <c r="IP80" s="87"/>
      <c r="IQ80" s="87"/>
      <c r="IR80" s="87"/>
      <c r="IS80" s="87"/>
      <c r="IT80" s="87"/>
      <c r="IU80" s="87"/>
      <c r="IV80" s="87"/>
    </row>
    <row r="81" spans="1:256" s="33" customFormat="1" ht="16.5" customHeight="1">
      <c r="A81" s="69" t="str">
        <f t="shared" ref="A81:A111" ca="1" si="28">IF(ISERROR(VALUE(SUBSTITUTE(OFFSET(A81,-1,0,1,1),".",""))),"0.1",IF(ISERROR(FIND("`",SUBSTITUTE(OFFSET(A81,-1,0,1,1),".","`",1))),OFFSET(A81,-1,0,1,1)&amp;".1",LEFT(OFFSET(A81,-1,0,1,1),FIND("`",SUBSTITUTE(OFFSET(A81,-1,0,1,1),".","`",1)))&amp;IF(ISERROR(FIND("`",SUBSTITUTE(OFFSET(A81,-1,0,1,1),".","`",2))),VALUE(RIGHT(OFFSET(A81,-1,0,1,1),LEN(OFFSET(A81,-1,0,1,1))-FIND("`",SUBSTITUTE(OFFSET(A81,-1,0,1,1),".","`",1))))+1,VALUE(MID(OFFSET(A81,-1,0,1,1),FIND("`",SUBSTITUTE(OFFSET(A81,-1,0,1,1),".","`",1))+1,(FIND("`",SUBSTITUTE(OFFSET(A81,-1,0,1,1),".","`",2))-FIND("`",SUBSTITUTE(OFFSET(A81,-1,0,1,1),".","`",1))-1)))+1)))</f>
        <v>3.2</v>
      </c>
      <c r="B81" s="118" t="s">
        <v>165</v>
      </c>
      <c r="C81" s="119" t="s">
        <v>139</v>
      </c>
      <c r="D81" s="67">
        <v>42064</v>
      </c>
      <c r="E81" s="67">
        <f>D81+F81-1</f>
        <v>42064</v>
      </c>
      <c r="F81" s="68">
        <v>1</v>
      </c>
      <c r="G81" s="71">
        <v>1</v>
      </c>
      <c r="H81" s="68">
        <f>NETWORKDAYS(D81,E81)</f>
        <v>0</v>
      </c>
      <c r="I81" s="84">
        <f>ROUNDDOWN(G81*F81,0)</f>
        <v>1</v>
      </c>
      <c r="J81" s="68">
        <f>F81-I81</f>
        <v>0</v>
      </c>
      <c r="K81" s="83">
        <v>100</v>
      </c>
      <c r="IP81" s="87"/>
      <c r="IQ81" s="87"/>
      <c r="IR81" s="87"/>
      <c r="IS81" s="87"/>
      <c r="IT81" s="87"/>
      <c r="IU81" s="87"/>
      <c r="IV81" s="87"/>
    </row>
    <row r="82" spans="1:256" s="33" customFormat="1" ht="16.5" customHeight="1">
      <c r="A82" s="69" t="str">
        <f t="shared" ca="1" si="28"/>
        <v>3.3</v>
      </c>
      <c r="B82" s="118" t="s">
        <v>166</v>
      </c>
      <c r="C82" s="119" t="s">
        <v>139</v>
      </c>
      <c r="D82" s="67">
        <v>42064</v>
      </c>
      <c r="E82" s="67">
        <f>D82+F82-1</f>
        <v>42064</v>
      </c>
      <c r="F82" s="68">
        <v>1</v>
      </c>
      <c r="G82" s="71">
        <v>1</v>
      </c>
      <c r="H82" s="68">
        <f>NETWORKDAYS(D82,E82)</f>
        <v>0</v>
      </c>
      <c r="I82" s="84">
        <f>ROUNDDOWN(G82*F82,0)</f>
        <v>1</v>
      </c>
      <c r="J82" s="68">
        <f>F82-I82</f>
        <v>0</v>
      </c>
      <c r="K82" s="83">
        <v>100</v>
      </c>
      <c r="IP82" s="87"/>
      <c r="IQ82" s="87"/>
      <c r="IR82" s="87"/>
      <c r="IS82" s="87"/>
      <c r="IT82" s="87"/>
      <c r="IU82" s="87"/>
      <c r="IV82" s="87"/>
    </row>
    <row r="83" spans="1:256" s="33" customFormat="1" ht="16.5" customHeight="1">
      <c r="A83" s="69" t="str">
        <f t="shared" ca="1" si="28"/>
        <v>3.4</v>
      </c>
      <c r="B83" s="118" t="s">
        <v>167</v>
      </c>
      <c r="C83" s="119" t="s">
        <v>139</v>
      </c>
      <c r="D83" s="67">
        <v>42064</v>
      </c>
      <c r="E83" s="67">
        <f>D83+F83-1</f>
        <v>42064</v>
      </c>
      <c r="F83" s="68">
        <v>1</v>
      </c>
      <c r="G83" s="71">
        <v>1</v>
      </c>
      <c r="H83" s="68">
        <f>NETWORKDAYS(D83,E83)</f>
        <v>0</v>
      </c>
      <c r="I83" s="84">
        <f>ROUNDDOWN(G83*F83,0)</f>
        <v>1</v>
      </c>
      <c r="J83" s="68">
        <f>F83-I83</f>
        <v>0</v>
      </c>
      <c r="K83" s="83">
        <v>100</v>
      </c>
      <c r="IP83" s="87"/>
      <c r="IQ83" s="87"/>
      <c r="IR83" s="87"/>
      <c r="IS83" s="87"/>
      <c r="IT83" s="87"/>
      <c r="IU83" s="87"/>
      <c r="IV83" s="87"/>
    </row>
    <row r="84" spans="1:256" s="33" customFormat="1" ht="16.5" customHeight="1">
      <c r="A84" s="69" t="str">
        <f t="shared" ca="1" si="28"/>
        <v>3.5</v>
      </c>
      <c r="B84" s="118" t="s">
        <v>168</v>
      </c>
      <c r="C84" s="119" t="s">
        <v>139</v>
      </c>
      <c r="D84" s="67">
        <v>42064</v>
      </c>
      <c r="E84" s="67">
        <f t="shared" ref="E84:E111" si="29">D84+F84-1</f>
        <v>42064</v>
      </c>
      <c r="F84" s="68">
        <v>1</v>
      </c>
      <c r="G84" s="71">
        <v>1</v>
      </c>
      <c r="H84" s="68">
        <f t="shared" ref="H84:H111" si="30">NETWORKDAYS(D84,E84)</f>
        <v>0</v>
      </c>
      <c r="I84" s="84">
        <f t="shared" ref="I84:I111" si="31">ROUNDDOWN(G84*F84,0)</f>
        <v>1</v>
      </c>
      <c r="J84" s="68">
        <f t="shared" ref="J84:J111" si="32">F84-I84</f>
        <v>0</v>
      </c>
      <c r="K84" s="83">
        <v>100</v>
      </c>
      <c r="IP84" s="87"/>
      <c r="IQ84" s="87"/>
      <c r="IR84" s="87"/>
      <c r="IS84" s="87"/>
      <c r="IT84" s="87"/>
      <c r="IU84" s="87"/>
      <c r="IV84" s="87"/>
    </row>
    <row r="85" spans="1:256" s="33" customFormat="1" ht="16.5" customHeight="1">
      <c r="A85" s="69" t="str">
        <f t="shared" ca="1" si="28"/>
        <v>3.6</v>
      </c>
      <c r="B85" s="118" t="s">
        <v>169</v>
      </c>
      <c r="C85" s="119" t="s">
        <v>139</v>
      </c>
      <c r="D85" s="67">
        <v>42064</v>
      </c>
      <c r="E85" s="67">
        <f t="shared" si="29"/>
        <v>42064</v>
      </c>
      <c r="F85" s="68">
        <v>1</v>
      </c>
      <c r="G85" s="71">
        <v>1</v>
      </c>
      <c r="H85" s="68">
        <f t="shared" si="30"/>
        <v>0</v>
      </c>
      <c r="I85" s="84">
        <f t="shared" si="31"/>
        <v>1</v>
      </c>
      <c r="J85" s="68">
        <f t="shared" si="32"/>
        <v>0</v>
      </c>
      <c r="K85" s="83">
        <v>100</v>
      </c>
      <c r="IP85" s="87"/>
      <c r="IQ85" s="87"/>
      <c r="IR85" s="87"/>
      <c r="IS85" s="87"/>
      <c r="IT85" s="87"/>
      <c r="IU85" s="87"/>
      <c r="IV85" s="87"/>
    </row>
    <row r="86" spans="1:256" s="33" customFormat="1" ht="16.5" customHeight="1">
      <c r="A86" s="69" t="str">
        <f t="shared" ca="1" si="28"/>
        <v>3.7</v>
      </c>
      <c r="B86" s="118" t="s">
        <v>170</v>
      </c>
      <c r="C86" s="119" t="s">
        <v>139</v>
      </c>
      <c r="D86" s="67">
        <v>42064</v>
      </c>
      <c r="E86" s="67">
        <f t="shared" si="29"/>
        <v>42064</v>
      </c>
      <c r="F86" s="68">
        <v>1</v>
      </c>
      <c r="G86" s="71">
        <v>1</v>
      </c>
      <c r="H86" s="68">
        <f t="shared" si="30"/>
        <v>0</v>
      </c>
      <c r="I86" s="84">
        <f t="shared" si="31"/>
        <v>1</v>
      </c>
      <c r="J86" s="68">
        <f t="shared" si="32"/>
        <v>0</v>
      </c>
      <c r="K86" s="83">
        <v>100</v>
      </c>
      <c r="IP86" s="87"/>
      <c r="IQ86" s="87"/>
      <c r="IR86" s="87"/>
      <c r="IS86" s="87"/>
      <c r="IT86" s="87"/>
      <c r="IU86" s="87"/>
      <c r="IV86" s="87"/>
    </row>
    <row r="87" spans="1:256" s="33" customFormat="1" ht="16.5" customHeight="1">
      <c r="A87" s="69" t="str">
        <f t="shared" ca="1" si="28"/>
        <v>3.8</v>
      </c>
      <c r="B87" s="118" t="s">
        <v>171</v>
      </c>
      <c r="C87" s="119" t="s">
        <v>139</v>
      </c>
      <c r="D87" s="67">
        <v>42064</v>
      </c>
      <c r="E87" s="67">
        <f t="shared" si="29"/>
        <v>42064</v>
      </c>
      <c r="F87" s="68">
        <v>1</v>
      </c>
      <c r="G87" s="71">
        <v>1</v>
      </c>
      <c r="H87" s="68">
        <f t="shared" si="30"/>
        <v>0</v>
      </c>
      <c r="I87" s="84">
        <f t="shared" si="31"/>
        <v>1</v>
      </c>
      <c r="J87" s="68">
        <f t="shared" si="32"/>
        <v>0</v>
      </c>
      <c r="K87" s="83">
        <v>100</v>
      </c>
      <c r="IP87" s="87"/>
      <c r="IQ87" s="87"/>
      <c r="IR87" s="87"/>
      <c r="IS87" s="87"/>
      <c r="IT87" s="87"/>
      <c r="IU87" s="87"/>
      <c r="IV87" s="87"/>
    </row>
    <row r="88" spans="1:256" s="33" customFormat="1" ht="16.5" customHeight="1">
      <c r="A88" s="69" t="str">
        <f t="shared" ca="1" si="28"/>
        <v>3.9</v>
      </c>
      <c r="B88" s="118" t="s">
        <v>172</v>
      </c>
      <c r="C88" s="119" t="s">
        <v>139</v>
      </c>
      <c r="D88" s="67">
        <v>42065</v>
      </c>
      <c r="E88" s="67">
        <f t="shared" si="29"/>
        <v>42065</v>
      </c>
      <c r="F88" s="68">
        <v>1</v>
      </c>
      <c r="G88" s="71">
        <v>1</v>
      </c>
      <c r="H88" s="68">
        <f t="shared" si="30"/>
        <v>1</v>
      </c>
      <c r="I88" s="84">
        <f t="shared" si="31"/>
        <v>1</v>
      </c>
      <c r="J88" s="68">
        <f t="shared" si="32"/>
        <v>0</v>
      </c>
      <c r="K88" s="83">
        <v>100</v>
      </c>
      <c r="IP88" s="87"/>
      <c r="IQ88" s="87"/>
      <c r="IR88" s="87"/>
      <c r="IS88" s="87"/>
      <c r="IT88" s="87"/>
      <c r="IU88" s="87"/>
      <c r="IV88" s="87"/>
    </row>
    <row r="89" spans="1:256" s="33" customFormat="1" ht="16.5" customHeight="1">
      <c r="A89" s="69" t="str">
        <f t="shared" ca="1" si="28"/>
        <v>3.10</v>
      </c>
      <c r="B89" s="118" t="s">
        <v>173</v>
      </c>
      <c r="C89" s="119" t="s">
        <v>139</v>
      </c>
      <c r="D89" s="67">
        <v>42065</v>
      </c>
      <c r="E89" s="67">
        <f t="shared" si="29"/>
        <v>42065</v>
      </c>
      <c r="F89" s="68">
        <v>1</v>
      </c>
      <c r="G89" s="71">
        <v>1</v>
      </c>
      <c r="H89" s="68">
        <f t="shared" si="30"/>
        <v>1</v>
      </c>
      <c r="I89" s="84">
        <f t="shared" si="31"/>
        <v>1</v>
      </c>
      <c r="J89" s="68">
        <f t="shared" si="32"/>
        <v>0</v>
      </c>
      <c r="K89" s="83">
        <v>100</v>
      </c>
      <c r="IP89" s="87"/>
      <c r="IQ89" s="87"/>
      <c r="IR89" s="87"/>
      <c r="IS89" s="87"/>
      <c r="IT89" s="87"/>
      <c r="IU89" s="87"/>
      <c r="IV89" s="87"/>
    </row>
    <row r="90" spans="1:256" s="33" customFormat="1" ht="16.5" customHeight="1">
      <c r="A90" s="69" t="str">
        <f t="shared" ca="1" si="28"/>
        <v>3.11</v>
      </c>
      <c r="B90" s="118" t="s">
        <v>174</v>
      </c>
      <c r="C90" s="119" t="s">
        <v>139</v>
      </c>
      <c r="D90" s="67">
        <v>42065</v>
      </c>
      <c r="E90" s="67">
        <f t="shared" si="29"/>
        <v>42065</v>
      </c>
      <c r="F90" s="68">
        <v>1</v>
      </c>
      <c r="G90" s="71">
        <v>1</v>
      </c>
      <c r="H90" s="68">
        <f t="shared" si="30"/>
        <v>1</v>
      </c>
      <c r="I90" s="84">
        <f t="shared" si="31"/>
        <v>1</v>
      </c>
      <c r="J90" s="68">
        <f t="shared" si="32"/>
        <v>0</v>
      </c>
      <c r="K90" s="83">
        <v>100</v>
      </c>
      <c r="IP90" s="87"/>
      <c r="IQ90" s="87"/>
      <c r="IR90" s="87"/>
      <c r="IS90" s="87"/>
      <c r="IT90" s="87"/>
      <c r="IU90" s="87"/>
      <c r="IV90" s="87"/>
    </row>
    <row r="91" spans="1:256" s="33" customFormat="1" ht="16.5" customHeight="1">
      <c r="A91" s="69" t="str">
        <f t="shared" ca="1" si="28"/>
        <v>3.12</v>
      </c>
      <c r="B91" s="118" t="s">
        <v>175</v>
      </c>
      <c r="C91" s="119" t="s">
        <v>139</v>
      </c>
      <c r="D91" s="67">
        <v>42065</v>
      </c>
      <c r="E91" s="67">
        <f t="shared" si="29"/>
        <v>42065</v>
      </c>
      <c r="F91" s="68">
        <v>1</v>
      </c>
      <c r="G91" s="71">
        <v>1</v>
      </c>
      <c r="H91" s="68">
        <f t="shared" si="30"/>
        <v>1</v>
      </c>
      <c r="I91" s="84">
        <f t="shared" si="31"/>
        <v>1</v>
      </c>
      <c r="J91" s="68">
        <f t="shared" si="32"/>
        <v>0</v>
      </c>
      <c r="K91" s="83">
        <v>100</v>
      </c>
      <c r="IP91" s="87"/>
      <c r="IQ91" s="87"/>
      <c r="IR91" s="87"/>
      <c r="IS91" s="87"/>
      <c r="IT91" s="87"/>
      <c r="IU91" s="87"/>
      <c r="IV91" s="87"/>
    </row>
    <row r="92" spans="1:256" s="33" customFormat="1" ht="16.5" customHeight="1">
      <c r="A92" s="69" t="str">
        <f t="shared" ca="1" si="28"/>
        <v>3.13</v>
      </c>
      <c r="B92" s="118" t="s">
        <v>176</v>
      </c>
      <c r="C92" s="119" t="s">
        <v>139</v>
      </c>
      <c r="D92" s="67">
        <v>42065</v>
      </c>
      <c r="E92" s="67">
        <f t="shared" si="29"/>
        <v>42065</v>
      </c>
      <c r="F92" s="68">
        <v>1</v>
      </c>
      <c r="G92" s="71">
        <v>1</v>
      </c>
      <c r="H92" s="68">
        <f t="shared" si="30"/>
        <v>1</v>
      </c>
      <c r="I92" s="84">
        <f t="shared" si="31"/>
        <v>1</v>
      </c>
      <c r="J92" s="68">
        <f t="shared" si="32"/>
        <v>0</v>
      </c>
      <c r="K92" s="83">
        <v>100</v>
      </c>
      <c r="IP92" s="87"/>
      <c r="IQ92" s="87"/>
      <c r="IR92" s="87"/>
      <c r="IS92" s="87"/>
      <c r="IT92" s="87"/>
      <c r="IU92" s="87"/>
      <c r="IV92" s="87"/>
    </row>
    <row r="93" spans="1:256" s="33" customFormat="1" ht="16.5" customHeight="1">
      <c r="A93" s="69" t="str">
        <f t="shared" ca="1" si="28"/>
        <v>3.14</v>
      </c>
      <c r="B93" s="118" t="s">
        <v>177</v>
      </c>
      <c r="C93" s="119" t="s">
        <v>139</v>
      </c>
      <c r="D93" s="67">
        <v>42065</v>
      </c>
      <c r="E93" s="67">
        <f t="shared" si="29"/>
        <v>42065</v>
      </c>
      <c r="F93" s="68">
        <v>1</v>
      </c>
      <c r="G93" s="71">
        <v>1</v>
      </c>
      <c r="H93" s="68">
        <f t="shared" si="30"/>
        <v>1</v>
      </c>
      <c r="I93" s="84">
        <f t="shared" si="31"/>
        <v>1</v>
      </c>
      <c r="J93" s="68">
        <f t="shared" si="32"/>
        <v>0</v>
      </c>
      <c r="K93" s="83">
        <v>100</v>
      </c>
      <c r="IP93" s="87"/>
      <c r="IQ93" s="87"/>
      <c r="IR93" s="87"/>
      <c r="IS93" s="87"/>
      <c r="IT93" s="87"/>
      <c r="IU93" s="87"/>
      <c r="IV93" s="87"/>
    </row>
    <row r="94" spans="1:256" s="33" customFormat="1" ht="16.5" customHeight="1">
      <c r="A94" s="69" t="str">
        <f t="shared" ca="1" si="28"/>
        <v>3.15</v>
      </c>
      <c r="B94" s="118" t="s">
        <v>178</v>
      </c>
      <c r="C94" s="119" t="s">
        <v>139</v>
      </c>
      <c r="D94" s="67">
        <v>42066</v>
      </c>
      <c r="E94" s="67">
        <f t="shared" si="29"/>
        <v>42066</v>
      </c>
      <c r="F94" s="68">
        <v>1</v>
      </c>
      <c r="G94" s="71">
        <v>1</v>
      </c>
      <c r="H94" s="68">
        <f t="shared" si="30"/>
        <v>1</v>
      </c>
      <c r="I94" s="84">
        <f t="shared" si="31"/>
        <v>1</v>
      </c>
      <c r="J94" s="68">
        <f t="shared" si="32"/>
        <v>0</v>
      </c>
      <c r="K94" s="83">
        <v>100</v>
      </c>
      <c r="IP94" s="87"/>
      <c r="IQ94" s="87"/>
      <c r="IR94" s="87"/>
      <c r="IS94" s="87"/>
      <c r="IT94" s="87"/>
      <c r="IU94" s="87"/>
      <c r="IV94" s="87"/>
    </row>
    <row r="95" spans="1:256" s="33" customFormat="1" ht="16.5" customHeight="1">
      <c r="A95" s="69" t="str">
        <f t="shared" ca="1" si="28"/>
        <v>3.16</v>
      </c>
      <c r="B95" s="118" t="s">
        <v>179</v>
      </c>
      <c r="C95" s="119" t="s">
        <v>139</v>
      </c>
      <c r="D95" s="67">
        <v>42066</v>
      </c>
      <c r="E95" s="67">
        <f t="shared" si="29"/>
        <v>42066</v>
      </c>
      <c r="F95" s="68">
        <v>1</v>
      </c>
      <c r="G95" s="71">
        <v>1</v>
      </c>
      <c r="H95" s="68">
        <f t="shared" si="30"/>
        <v>1</v>
      </c>
      <c r="I95" s="84">
        <f t="shared" si="31"/>
        <v>1</v>
      </c>
      <c r="J95" s="68">
        <f t="shared" si="32"/>
        <v>0</v>
      </c>
      <c r="K95" s="83">
        <v>100</v>
      </c>
      <c r="IP95" s="87"/>
      <c r="IQ95" s="87"/>
      <c r="IR95" s="87"/>
      <c r="IS95" s="87"/>
      <c r="IT95" s="87"/>
      <c r="IU95" s="87"/>
      <c r="IV95" s="87"/>
    </row>
    <row r="96" spans="1:256" s="33" customFormat="1" ht="16.5" customHeight="1">
      <c r="A96" s="69" t="str">
        <f t="shared" ca="1" si="28"/>
        <v>3.17</v>
      </c>
      <c r="B96" s="118" t="s">
        <v>180</v>
      </c>
      <c r="C96" s="119" t="s">
        <v>139</v>
      </c>
      <c r="D96" s="67">
        <v>42066</v>
      </c>
      <c r="E96" s="67">
        <f t="shared" si="29"/>
        <v>42066</v>
      </c>
      <c r="F96" s="68">
        <v>1</v>
      </c>
      <c r="G96" s="71">
        <v>1</v>
      </c>
      <c r="H96" s="68">
        <f t="shared" si="30"/>
        <v>1</v>
      </c>
      <c r="I96" s="84">
        <f t="shared" si="31"/>
        <v>1</v>
      </c>
      <c r="J96" s="68">
        <f t="shared" si="32"/>
        <v>0</v>
      </c>
      <c r="K96" s="83">
        <v>100</v>
      </c>
      <c r="IP96" s="87"/>
      <c r="IQ96" s="87"/>
      <c r="IR96" s="87"/>
      <c r="IS96" s="87"/>
      <c r="IT96" s="87"/>
      <c r="IU96" s="87"/>
      <c r="IV96" s="87"/>
    </row>
    <row r="97" spans="1:256" s="33" customFormat="1" ht="16.5" customHeight="1">
      <c r="A97" s="69" t="str">
        <f t="shared" ca="1" si="28"/>
        <v>3.18</v>
      </c>
      <c r="B97" s="118" t="s">
        <v>181</v>
      </c>
      <c r="C97" s="119" t="s">
        <v>139</v>
      </c>
      <c r="D97" s="67">
        <v>42066</v>
      </c>
      <c r="E97" s="67">
        <f t="shared" si="29"/>
        <v>42066</v>
      </c>
      <c r="F97" s="68">
        <v>1</v>
      </c>
      <c r="G97" s="71">
        <v>1</v>
      </c>
      <c r="H97" s="68">
        <f t="shared" si="30"/>
        <v>1</v>
      </c>
      <c r="I97" s="84">
        <f t="shared" si="31"/>
        <v>1</v>
      </c>
      <c r="J97" s="68">
        <f t="shared" si="32"/>
        <v>0</v>
      </c>
      <c r="K97" s="83">
        <v>100</v>
      </c>
      <c r="IP97" s="87"/>
      <c r="IQ97" s="87"/>
      <c r="IR97" s="87"/>
      <c r="IS97" s="87"/>
      <c r="IT97" s="87"/>
      <c r="IU97" s="87"/>
      <c r="IV97" s="87"/>
    </row>
    <row r="98" spans="1:256" s="33" customFormat="1" ht="16.5" customHeight="1">
      <c r="A98" s="69" t="str">
        <f t="shared" ca="1" si="28"/>
        <v>3.19</v>
      </c>
      <c r="B98" s="118" t="s">
        <v>182</v>
      </c>
      <c r="C98" s="119" t="s">
        <v>139</v>
      </c>
      <c r="D98" s="67">
        <v>42066</v>
      </c>
      <c r="E98" s="67">
        <f t="shared" si="29"/>
        <v>42066</v>
      </c>
      <c r="F98" s="68">
        <v>1</v>
      </c>
      <c r="G98" s="71">
        <v>1</v>
      </c>
      <c r="H98" s="68">
        <f t="shared" si="30"/>
        <v>1</v>
      </c>
      <c r="I98" s="84">
        <f t="shared" si="31"/>
        <v>1</v>
      </c>
      <c r="J98" s="68">
        <f t="shared" si="32"/>
        <v>0</v>
      </c>
      <c r="K98" s="83">
        <v>100</v>
      </c>
      <c r="IP98" s="87"/>
      <c r="IQ98" s="87"/>
      <c r="IR98" s="87"/>
      <c r="IS98" s="87"/>
      <c r="IT98" s="87"/>
      <c r="IU98" s="87"/>
      <c r="IV98" s="87"/>
    </row>
    <row r="99" spans="1:256" s="33" customFormat="1" ht="16.5" customHeight="1">
      <c r="A99" s="69" t="str">
        <f t="shared" ca="1" si="28"/>
        <v>3.20</v>
      </c>
      <c r="B99" s="118" t="s">
        <v>183</v>
      </c>
      <c r="C99" s="119" t="s">
        <v>139</v>
      </c>
      <c r="D99" s="67">
        <v>42066</v>
      </c>
      <c r="E99" s="67">
        <f t="shared" si="29"/>
        <v>42066</v>
      </c>
      <c r="F99" s="68">
        <v>1</v>
      </c>
      <c r="G99" s="71">
        <v>1</v>
      </c>
      <c r="H99" s="68">
        <f t="shared" si="30"/>
        <v>1</v>
      </c>
      <c r="I99" s="84">
        <f t="shared" si="31"/>
        <v>1</v>
      </c>
      <c r="J99" s="68">
        <f t="shared" si="32"/>
        <v>0</v>
      </c>
      <c r="K99" s="83">
        <v>100</v>
      </c>
      <c r="IP99" s="87"/>
      <c r="IQ99" s="87"/>
      <c r="IR99" s="87"/>
      <c r="IS99" s="87"/>
      <c r="IT99" s="87"/>
      <c r="IU99" s="87"/>
      <c r="IV99" s="87"/>
    </row>
    <row r="100" spans="1:256" s="33" customFormat="1" ht="16.5" customHeight="1">
      <c r="A100" s="69" t="str">
        <f t="shared" ca="1" si="28"/>
        <v>3.21</v>
      </c>
      <c r="B100" s="118" t="s">
        <v>184</v>
      </c>
      <c r="C100" s="119" t="s">
        <v>139</v>
      </c>
      <c r="D100" s="67">
        <v>42067</v>
      </c>
      <c r="E100" s="67">
        <f t="shared" si="29"/>
        <v>42067</v>
      </c>
      <c r="F100" s="68">
        <v>1</v>
      </c>
      <c r="G100" s="71">
        <v>1</v>
      </c>
      <c r="H100" s="68">
        <f t="shared" si="30"/>
        <v>1</v>
      </c>
      <c r="I100" s="84">
        <f t="shared" si="31"/>
        <v>1</v>
      </c>
      <c r="J100" s="68">
        <f t="shared" si="32"/>
        <v>0</v>
      </c>
      <c r="K100" s="83">
        <v>100</v>
      </c>
      <c r="IP100" s="87"/>
      <c r="IQ100" s="87"/>
      <c r="IR100" s="87"/>
      <c r="IS100" s="87"/>
      <c r="IT100" s="87"/>
      <c r="IU100" s="87"/>
      <c r="IV100" s="87"/>
    </row>
    <row r="101" spans="1:256" s="33" customFormat="1" ht="16.5" customHeight="1">
      <c r="A101" s="69" t="str">
        <f t="shared" ca="1" si="28"/>
        <v>3.22</v>
      </c>
      <c r="B101" s="118" t="s">
        <v>185</v>
      </c>
      <c r="C101" s="119" t="s">
        <v>139</v>
      </c>
      <c r="D101" s="67">
        <v>42067</v>
      </c>
      <c r="E101" s="67">
        <f t="shared" si="29"/>
        <v>42067</v>
      </c>
      <c r="F101" s="68">
        <v>1</v>
      </c>
      <c r="G101" s="71">
        <v>1</v>
      </c>
      <c r="H101" s="68">
        <f t="shared" si="30"/>
        <v>1</v>
      </c>
      <c r="I101" s="84">
        <f t="shared" si="31"/>
        <v>1</v>
      </c>
      <c r="J101" s="68">
        <f t="shared" si="32"/>
        <v>0</v>
      </c>
      <c r="K101" s="83">
        <v>100</v>
      </c>
      <c r="IP101" s="87"/>
      <c r="IQ101" s="87"/>
      <c r="IR101" s="87"/>
      <c r="IS101" s="87"/>
      <c r="IT101" s="87"/>
      <c r="IU101" s="87"/>
      <c r="IV101" s="87"/>
    </row>
    <row r="102" spans="1:256" s="33" customFormat="1" ht="16.5" customHeight="1">
      <c r="A102" s="69" t="str">
        <f t="shared" ca="1" si="28"/>
        <v>3.23</v>
      </c>
      <c r="B102" s="118" t="s">
        <v>186</v>
      </c>
      <c r="C102" s="119" t="s">
        <v>139</v>
      </c>
      <c r="D102" s="67">
        <v>42067</v>
      </c>
      <c r="E102" s="67">
        <f t="shared" si="29"/>
        <v>42067</v>
      </c>
      <c r="F102" s="68">
        <v>1</v>
      </c>
      <c r="G102" s="71">
        <v>1</v>
      </c>
      <c r="H102" s="68">
        <f t="shared" si="30"/>
        <v>1</v>
      </c>
      <c r="I102" s="84">
        <f t="shared" si="31"/>
        <v>1</v>
      </c>
      <c r="J102" s="68">
        <f t="shared" si="32"/>
        <v>0</v>
      </c>
      <c r="K102" s="83">
        <v>100</v>
      </c>
      <c r="IP102" s="87"/>
      <c r="IQ102" s="87"/>
      <c r="IR102" s="87"/>
      <c r="IS102" s="87"/>
      <c r="IT102" s="87"/>
      <c r="IU102" s="87"/>
      <c r="IV102" s="87"/>
    </row>
    <row r="103" spans="1:256" s="33" customFormat="1" ht="16.5" customHeight="1">
      <c r="A103" s="69" t="str">
        <f t="shared" ca="1" si="28"/>
        <v>3.24</v>
      </c>
      <c r="B103" s="118" t="s">
        <v>187</v>
      </c>
      <c r="C103" s="119" t="s">
        <v>139</v>
      </c>
      <c r="D103" s="67">
        <v>42067</v>
      </c>
      <c r="E103" s="67">
        <f t="shared" si="29"/>
        <v>42067</v>
      </c>
      <c r="F103" s="68">
        <v>1</v>
      </c>
      <c r="G103" s="71">
        <v>1</v>
      </c>
      <c r="H103" s="68">
        <f t="shared" si="30"/>
        <v>1</v>
      </c>
      <c r="I103" s="84">
        <f t="shared" si="31"/>
        <v>1</v>
      </c>
      <c r="J103" s="68">
        <f t="shared" si="32"/>
        <v>0</v>
      </c>
      <c r="K103" s="83">
        <v>100</v>
      </c>
      <c r="IP103" s="87"/>
      <c r="IQ103" s="87"/>
      <c r="IR103" s="87"/>
      <c r="IS103" s="87"/>
      <c r="IT103" s="87"/>
      <c r="IU103" s="87"/>
      <c r="IV103" s="87"/>
    </row>
    <row r="104" spans="1:256" s="33" customFormat="1" ht="16.5" customHeight="1">
      <c r="A104" s="69" t="str">
        <f t="shared" ca="1" si="28"/>
        <v>3.25</v>
      </c>
      <c r="B104" s="118" t="s">
        <v>188</v>
      </c>
      <c r="C104" s="119" t="s">
        <v>139</v>
      </c>
      <c r="D104" s="67">
        <v>42067</v>
      </c>
      <c r="E104" s="67">
        <f t="shared" si="29"/>
        <v>42067</v>
      </c>
      <c r="F104" s="68">
        <v>1</v>
      </c>
      <c r="G104" s="71">
        <v>1</v>
      </c>
      <c r="H104" s="68">
        <f t="shared" si="30"/>
        <v>1</v>
      </c>
      <c r="I104" s="84">
        <f t="shared" si="31"/>
        <v>1</v>
      </c>
      <c r="J104" s="68">
        <f t="shared" si="32"/>
        <v>0</v>
      </c>
      <c r="K104" s="83">
        <v>100</v>
      </c>
      <c r="IP104" s="87"/>
      <c r="IQ104" s="87"/>
      <c r="IR104" s="87"/>
      <c r="IS104" s="87"/>
      <c r="IT104" s="87"/>
      <c r="IU104" s="87"/>
      <c r="IV104" s="87"/>
    </row>
    <row r="105" spans="1:256" s="33" customFormat="1" ht="16.5" customHeight="1">
      <c r="A105" s="69" t="str">
        <f t="shared" ca="1" si="28"/>
        <v>3.26</v>
      </c>
      <c r="B105" s="118" t="s">
        <v>189</v>
      </c>
      <c r="C105" s="119" t="s">
        <v>139</v>
      </c>
      <c r="D105" s="67">
        <v>42067</v>
      </c>
      <c r="E105" s="67">
        <f t="shared" si="29"/>
        <v>42067</v>
      </c>
      <c r="F105" s="68">
        <v>1</v>
      </c>
      <c r="G105" s="71">
        <v>1</v>
      </c>
      <c r="H105" s="68">
        <f t="shared" si="30"/>
        <v>1</v>
      </c>
      <c r="I105" s="84">
        <f t="shared" si="31"/>
        <v>1</v>
      </c>
      <c r="J105" s="68">
        <f t="shared" si="32"/>
        <v>0</v>
      </c>
      <c r="K105" s="83">
        <v>100</v>
      </c>
      <c r="IP105" s="87"/>
      <c r="IQ105" s="87"/>
      <c r="IR105" s="87"/>
      <c r="IS105" s="87"/>
      <c r="IT105" s="87"/>
      <c r="IU105" s="87"/>
      <c r="IV105" s="87"/>
    </row>
    <row r="106" spans="1:256" s="33" customFormat="1" ht="16.5" customHeight="1">
      <c r="A106" s="69" t="str">
        <f t="shared" ca="1" si="28"/>
        <v>3.27</v>
      </c>
      <c r="B106" s="118" t="s">
        <v>190</v>
      </c>
      <c r="C106" s="119" t="s">
        <v>139</v>
      </c>
      <c r="D106" s="67">
        <v>42067</v>
      </c>
      <c r="E106" s="67">
        <f t="shared" si="29"/>
        <v>42067</v>
      </c>
      <c r="F106" s="68">
        <v>1</v>
      </c>
      <c r="G106" s="71">
        <v>1</v>
      </c>
      <c r="H106" s="68">
        <f t="shared" si="30"/>
        <v>1</v>
      </c>
      <c r="I106" s="84">
        <f t="shared" si="31"/>
        <v>1</v>
      </c>
      <c r="J106" s="68">
        <f t="shared" si="32"/>
        <v>0</v>
      </c>
      <c r="K106" s="83">
        <v>100</v>
      </c>
      <c r="IP106" s="87"/>
      <c r="IQ106" s="87"/>
      <c r="IR106" s="87"/>
      <c r="IS106" s="87"/>
      <c r="IT106" s="87"/>
      <c r="IU106" s="87"/>
      <c r="IV106" s="87"/>
    </row>
    <row r="107" spans="1:256" s="33" customFormat="1" ht="16.5" customHeight="1">
      <c r="A107" s="69" t="str">
        <f t="shared" ca="1" si="28"/>
        <v>3.28</v>
      </c>
      <c r="B107" s="118" t="s">
        <v>191</v>
      </c>
      <c r="C107" s="119" t="s">
        <v>139</v>
      </c>
      <c r="D107" s="67">
        <v>42068</v>
      </c>
      <c r="E107" s="67">
        <f t="shared" si="29"/>
        <v>42068</v>
      </c>
      <c r="F107" s="68">
        <v>1</v>
      </c>
      <c r="G107" s="71">
        <v>1</v>
      </c>
      <c r="H107" s="68">
        <f t="shared" si="30"/>
        <v>1</v>
      </c>
      <c r="I107" s="84">
        <f t="shared" si="31"/>
        <v>1</v>
      </c>
      <c r="J107" s="68">
        <f t="shared" si="32"/>
        <v>0</v>
      </c>
      <c r="K107" s="83">
        <v>100</v>
      </c>
      <c r="IP107" s="87"/>
      <c r="IQ107" s="87"/>
      <c r="IR107" s="87"/>
      <c r="IS107" s="87"/>
      <c r="IT107" s="87"/>
      <c r="IU107" s="87"/>
      <c r="IV107" s="87"/>
    </row>
    <row r="108" spans="1:256" s="33" customFormat="1" ht="16.5" customHeight="1">
      <c r="A108" s="69" t="str">
        <f t="shared" ca="1" si="28"/>
        <v>3.29</v>
      </c>
      <c r="B108" s="118" t="s">
        <v>192</v>
      </c>
      <c r="C108" s="119" t="s">
        <v>139</v>
      </c>
      <c r="D108" s="67">
        <v>42068</v>
      </c>
      <c r="E108" s="67">
        <f t="shared" si="29"/>
        <v>42068</v>
      </c>
      <c r="F108" s="68">
        <v>1</v>
      </c>
      <c r="G108" s="71">
        <v>1</v>
      </c>
      <c r="H108" s="68">
        <f t="shared" si="30"/>
        <v>1</v>
      </c>
      <c r="I108" s="84">
        <f t="shared" si="31"/>
        <v>1</v>
      </c>
      <c r="J108" s="68">
        <f t="shared" si="32"/>
        <v>0</v>
      </c>
      <c r="K108" s="83">
        <v>100</v>
      </c>
      <c r="IP108" s="87"/>
      <c r="IQ108" s="87"/>
      <c r="IR108" s="87"/>
      <c r="IS108" s="87"/>
      <c r="IT108" s="87"/>
      <c r="IU108" s="87"/>
      <c r="IV108" s="87"/>
    </row>
    <row r="109" spans="1:256" s="33" customFormat="1" ht="16.5" customHeight="1">
      <c r="A109" s="69" t="str">
        <f t="shared" ca="1" si="28"/>
        <v>3.30</v>
      </c>
      <c r="B109" s="118" t="s">
        <v>193</v>
      </c>
      <c r="C109" s="119" t="s">
        <v>139</v>
      </c>
      <c r="D109" s="67">
        <v>42068</v>
      </c>
      <c r="E109" s="67">
        <f t="shared" si="29"/>
        <v>42068</v>
      </c>
      <c r="F109" s="68">
        <v>1</v>
      </c>
      <c r="G109" s="71">
        <v>1</v>
      </c>
      <c r="H109" s="68">
        <f t="shared" si="30"/>
        <v>1</v>
      </c>
      <c r="I109" s="84">
        <f t="shared" si="31"/>
        <v>1</v>
      </c>
      <c r="J109" s="68">
        <f t="shared" si="32"/>
        <v>0</v>
      </c>
      <c r="K109" s="83">
        <v>100</v>
      </c>
      <c r="IP109" s="87"/>
      <c r="IQ109" s="87"/>
      <c r="IR109" s="87"/>
      <c r="IS109" s="87"/>
      <c r="IT109" s="87"/>
      <c r="IU109" s="87"/>
      <c r="IV109" s="87"/>
    </row>
    <row r="110" spans="1:256" s="33" customFormat="1" ht="16.5" customHeight="1">
      <c r="A110" s="69" t="str">
        <f t="shared" ca="1" si="28"/>
        <v>3.31</v>
      </c>
      <c r="B110" s="118" t="s">
        <v>194</v>
      </c>
      <c r="C110" s="119" t="s">
        <v>139</v>
      </c>
      <c r="D110" s="67">
        <v>42068</v>
      </c>
      <c r="E110" s="67">
        <f t="shared" si="29"/>
        <v>42068</v>
      </c>
      <c r="F110" s="68">
        <v>1</v>
      </c>
      <c r="G110" s="71">
        <v>1</v>
      </c>
      <c r="H110" s="68">
        <f t="shared" si="30"/>
        <v>1</v>
      </c>
      <c r="I110" s="84">
        <f t="shared" si="31"/>
        <v>1</v>
      </c>
      <c r="J110" s="68">
        <f t="shared" si="32"/>
        <v>0</v>
      </c>
      <c r="K110" s="83">
        <v>100</v>
      </c>
      <c r="IP110" s="87"/>
      <c r="IQ110" s="87"/>
      <c r="IR110" s="87"/>
      <c r="IS110" s="87"/>
      <c r="IT110" s="87"/>
      <c r="IU110" s="87"/>
      <c r="IV110" s="87"/>
    </row>
    <row r="111" spans="1:256" s="33" customFormat="1" ht="16.5" customHeight="1">
      <c r="A111" s="69" t="str">
        <f t="shared" ca="1" si="28"/>
        <v>3.32</v>
      </c>
      <c r="B111" s="118" t="s">
        <v>195</v>
      </c>
      <c r="C111" s="119" t="s">
        <v>139</v>
      </c>
      <c r="D111" s="67">
        <v>42068</v>
      </c>
      <c r="E111" s="67">
        <f t="shared" si="29"/>
        <v>42068</v>
      </c>
      <c r="F111" s="68">
        <v>1</v>
      </c>
      <c r="G111" s="71">
        <v>1</v>
      </c>
      <c r="H111" s="68">
        <f t="shared" si="30"/>
        <v>1</v>
      </c>
      <c r="I111" s="84">
        <f t="shared" si="31"/>
        <v>1</v>
      </c>
      <c r="J111" s="68">
        <f t="shared" si="32"/>
        <v>0</v>
      </c>
      <c r="K111" s="83">
        <v>100</v>
      </c>
      <c r="IP111" s="87"/>
      <c r="IQ111" s="87"/>
      <c r="IR111" s="87"/>
      <c r="IS111" s="87"/>
      <c r="IT111" s="87"/>
      <c r="IU111" s="87"/>
      <c r="IV111" s="87"/>
    </row>
    <row r="112" spans="1:256" s="33" customFormat="1" ht="16.5" customHeight="1">
      <c r="A112" s="69"/>
      <c r="B112" s="111"/>
      <c r="C112" s="70"/>
      <c r="D112" s="63"/>
      <c r="E112" s="63"/>
      <c r="F112" s="68"/>
      <c r="G112" s="71"/>
      <c r="H112" s="68"/>
      <c r="I112" s="84"/>
      <c r="J112" s="68"/>
      <c r="IP112" s="87"/>
      <c r="IQ112" s="87"/>
      <c r="IR112" s="87"/>
      <c r="IS112" s="87"/>
      <c r="IT112" s="87"/>
      <c r="IU112" s="87"/>
      <c r="IV112" s="87"/>
    </row>
    <row r="113" spans="1:256" s="33" customFormat="1" ht="16.5" customHeight="1">
      <c r="A113" s="73">
        <v>4</v>
      </c>
      <c r="B113" s="74" t="s">
        <v>37</v>
      </c>
      <c r="C113" s="70" t="s">
        <v>19</v>
      </c>
      <c r="D113" s="63">
        <f>MIN(D114:D117)</f>
        <v>42011</v>
      </c>
      <c r="E113" s="63">
        <f>D113+F113-1</f>
        <v>42010</v>
      </c>
      <c r="F113" s="68">
        <v>0</v>
      </c>
      <c r="G113" s="71">
        <f>SUMPRODUCT(F18:F22,G18:G22)/SUM(F18:F22)</f>
        <v>1</v>
      </c>
      <c r="H113" s="68">
        <f>NETWORKDAYS(D113,E113)</f>
        <v>-2</v>
      </c>
      <c r="I113" s="84">
        <f>ROUNDDOWN(G113*F113,0)</f>
        <v>0</v>
      </c>
      <c r="J113" s="68">
        <f>F113-I113</f>
        <v>0</v>
      </c>
      <c r="IP113" s="87"/>
      <c r="IQ113" s="87"/>
      <c r="IR113" s="87"/>
      <c r="IS113" s="87"/>
      <c r="IT113" s="87"/>
      <c r="IU113" s="87"/>
      <c r="IV113" s="87"/>
    </row>
    <row r="114" spans="1:256" s="33" customFormat="1" ht="16.5" customHeight="1">
      <c r="A114" s="69" t="str">
        <f ca="1">IF(ISERROR(VALUE(SUBSTITUTE(OFFSET(A114,-1,0,1,1),".",""))),"0.1",IF(ISERROR(FIND("`",SUBSTITUTE(OFFSET(A114,-1,0,1,1),".","`",1))),OFFSET(A114,-1,0,1,1)&amp;".1",LEFT(OFFSET(A114,-1,0,1,1),FIND("`",SUBSTITUTE(OFFSET(A114,-1,0,1,1),".","`",1)))&amp;IF(ISERROR(FIND("`",SUBSTITUTE(OFFSET(A114,-1,0,1,1),".","`",2))),VALUE(RIGHT(OFFSET(A114,-1,0,1,1),LEN(OFFSET(A114,-1,0,1,1))-FIND("`",SUBSTITUTE(OFFSET(A114,-1,0,1,1),".","`",1))))+1,VALUE(MID(OFFSET(A114,-1,0,1,1),FIND("`",SUBSTITUTE(OFFSET(A114,-1,0,1,1),".","`",1))+1,(FIND("`",SUBSTITUTE(OFFSET(A114,-1,0,1,1),".","`",2))-FIND("`",SUBSTITUTE(OFFSET(A114,-1,0,1,1),".","`",1))-1)))+1)))</f>
        <v>4.1</v>
      </c>
      <c r="B114" s="72" t="s">
        <v>36</v>
      </c>
      <c r="C114" s="70"/>
      <c r="D114" s="67">
        <v>42011</v>
      </c>
      <c r="E114" s="67">
        <f>D114+F114-1</f>
        <v>42010</v>
      </c>
      <c r="F114" s="68">
        <v>0</v>
      </c>
      <c r="G114" s="71">
        <v>0</v>
      </c>
      <c r="H114" s="68">
        <f>NETWORKDAYS(D114,E114)</f>
        <v>-2</v>
      </c>
      <c r="I114" s="84">
        <f>ROUNDDOWN(G114*F114,0)</f>
        <v>0</v>
      </c>
      <c r="J114" s="68">
        <f>F114-I114</f>
        <v>0</v>
      </c>
      <c r="IP114" s="87"/>
      <c r="IQ114" s="87"/>
      <c r="IR114" s="87"/>
      <c r="IS114" s="87"/>
      <c r="IT114" s="87"/>
      <c r="IU114" s="87"/>
      <c r="IV114" s="87"/>
    </row>
    <row r="115" spans="1:256" s="33" customFormat="1" ht="16.5" customHeight="1">
      <c r="A115" s="69" t="str">
        <f ca="1">IF(ISERROR(VALUE(SUBSTITUTE(OFFSET(A115,-1,0,1,1),".",""))),"0.1",IF(ISERROR(FIND("`",SUBSTITUTE(OFFSET(A115,-1,0,1,1),".","`",1))),OFFSET(A115,-1,0,1,1)&amp;".1",LEFT(OFFSET(A115,-1,0,1,1),FIND("`",SUBSTITUTE(OFFSET(A115,-1,0,1,1),".","`",1)))&amp;IF(ISERROR(FIND("`",SUBSTITUTE(OFFSET(A115,-1,0,1,1),".","`",2))),VALUE(RIGHT(OFFSET(A115,-1,0,1,1),LEN(OFFSET(A115,-1,0,1,1))-FIND("`",SUBSTITUTE(OFFSET(A115,-1,0,1,1),".","`",1))))+1,VALUE(MID(OFFSET(A115,-1,0,1,1),FIND("`",SUBSTITUTE(OFFSET(A115,-1,0,1,1),".","`",1))+1,(FIND("`",SUBSTITUTE(OFFSET(A115,-1,0,1,1),".","`",2))-FIND("`",SUBSTITUTE(OFFSET(A115,-1,0,1,1),".","`",1))-1)))+1)))</f>
        <v>4.2</v>
      </c>
      <c r="B115" s="72" t="s">
        <v>36</v>
      </c>
      <c r="C115" s="70"/>
      <c r="D115" s="67">
        <v>42012</v>
      </c>
      <c r="E115" s="67">
        <f>D115+F115-1</f>
        <v>42011</v>
      </c>
      <c r="F115" s="68">
        <v>0</v>
      </c>
      <c r="G115" s="71">
        <v>0</v>
      </c>
      <c r="H115" s="68">
        <f>NETWORKDAYS(D115,E115)</f>
        <v>-2</v>
      </c>
      <c r="I115" s="84">
        <f>ROUNDDOWN(G115*F115,0)</f>
        <v>0</v>
      </c>
      <c r="J115" s="68">
        <f>F115-I115</f>
        <v>0</v>
      </c>
      <c r="IP115" s="87"/>
      <c r="IQ115" s="87"/>
      <c r="IR115" s="87"/>
      <c r="IS115" s="87"/>
      <c r="IT115" s="87"/>
      <c r="IU115" s="87"/>
      <c r="IV115" s="87"/>
    </row>
    <row r="116" spans="1:256" s="33" customFormat="1" ht="16.5" customHeight="1">
      <c r="A116" s="69" t="str">
        <f ca="1">IF(ISERROR(VALUE(SUBSTITUTE(OFFSET(A116,-1,0,1,1),".",""))),"0.1",IF(ISERROR(FIND("`",SUBSTITUTE(OFFSET(A116,-1,0,1,1),".","`",1))),OFFSET(A116,-1,0,1,1)&amp;".1",LEFT(OFFSET(A116,-1,0,1,1),FIND("`",SUBSTITUTE(OFFSET(A116,-1,0,1,1),".","`",1)))&amp;IF(ISERROR(FIND("`",SUBSTITUTE(OFFSET(A116,-1,0,1,1),".","`",2))),VALUE(RIGHT(OFFSET(A116,-1,0,1,1),LEN(OFFSET(A116,-1,0,1,1))-FIND("`",SUBSTITUTE(OFFSET(A116,-1,0,1,1),".","`",1))))+1,VALUE(MID(OFFSET(A116,-1,0,1,1),FIND("`",SUBSTITUTE(OFFSET(A116,-1,0,1,1),".","`",1))+1,(FIND("`",SUBSTITUTE(OFFSET(A116,-1,0,1,1),".","`",2))-FIND("`",SUBSTITUTE(OFFSET(A116,-1,0,1,1),".","`",1))-1)))+1)))</f>
        <v>4.3</v>
      </c>
      <c r="B116" s="72" t="s">
        <v>36</v>
      </c>
      <c r="C116" s="70"/>
      <c r="D116" s="67">
        <v>42013</v>
      </c>
      <c r="E116" s="67">
        <f>D116+F116-1</f>
        <v>42012</v>
      </c>
      <c r="F116" s="68">
        <v>0</v>
      </c>
      <c r="G116" s="71">
        <v>0</v>
      </c>
      <c r="H116" s="68">
        <f>NETWORKDAYS(D116,E116)</f>
        <v>-2</v>
      </c>
      <c r="I116" s="84">
        <f>ROUNDDOWN(G116*F116,0)</f>
        <v>0</v>
      </c>
      <c r="J116" s="68">
        <f>F116-I116</f>
        <v>0</v>
      </c>
      <c r="IP116" s="87"/>
      <c r="IQ116" s="87"/>
      <c r="IR116" s="87"/>
      <c r="IS116" s="87"/>
      <c r="IT116" s="87"/>
      <c r="IU116" s="87"/>
      <c r="IV116" s="87"/>
    </row>
    <row r="117" spans="1:256" s="33" customFormat="1" ht="16.5" customHeight="1">
      <c r="A117" s="69" t="str">
        <f ca="1">IF(ISERROR(VALUE(SUBSTITUTE(OFFSET(A117,-1,0,1,1),".",""))),"0.1",IF(ISERROR(FIND("`",SUBSTITUTE(OFFSET(A117,-1,0,1,1),".","`",1))),OFFSET(A117,-1,0,1,1)&amp;".1",LEFT(OFFSET(A117,-1,0,1,1),FIND("`",SUBSTITUTE(OFFSET(A117,-1,0,1,1),".","`",1)))&amp;IF(ISERROR(FIND("`",SUBSTITUTE(OFFSET(A117,-1,0,1,1),".","`",2))),VALUE(RIGHT(OFFSET(A117,-1,0,1,1),LEN(OFFSET(A117,-1,0,1,1))-FIND("`",SUBSTITUTE(OFFSET(A117,-1,0,1,1),".","`",1))))+1,VALUE(MID(OFFSET(A117,-1,0,1,1),FIND("`",SUBSTITUTE(OFFSET(A117,-1,0,1,1),".","`",1))+1,(FIND("`",SUBSTITUTE(OFFSET(A117,-1,0,1,1),".","`",2))-FIND("`",SUBSTITUTE(OFFSET(A117,-1,0,1,1),".","`",1))-1)))+1)))</f>
        <v>4.4</v>
      </c>
      <c r="B117" s="72" t="s">
        <v>36</v>
      </c>
      <c r="C117" s="70"/>
      <c r="D117" s="67">
        <v>42035</v>
      </c>
      <c r="E117" s="67">
        <f>D117+F117-1</f>
        <v>42034</v>
      </c>
      <c r="F117" s="68">
        <v>0</v>
      </c>
      <c r="G117" s="71">
        <v>0</v>
      </c>
      <c r="H117" s="68">
        <f>NETWORKDAYS(D117,E117)</f>
        <v>-1</v>
      </c>
      <c r="I117" s="84">
        <f>ROUNDDOWN(G117*F117,0)</f>
        <v>0</v>
      </c>
      <c r="J117" s="68">
        <f>F117-I117</f>
        <v>0</v>
      </c>
      <c r="IP117" s="87"/>
      <c r="IQ117" s="87"/>
      <c r="IR117" s="87"/>
      <c r="IS117" s="87"/>
      <c r="IT117" s="87"/>
      <c r="IU117" s="87"/>
      <c r="IV117" s="87"/>
    </row>
    <row r="118" spans="1:256" s="35" customFormat="1">
      <c r="B118" s="89"/>
      <c r="C118" s="90"/>
      <c r="D118" s="91"/>
      <c r="E118" s="91"/>
      <c r="F118" s="92"/>
      <c r="G118" s="92"/>
      <c r="H118" s="92"/>
      <c r="I118" s="92"/>
      <c r="J118" s="92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  <c r="AT118" s="89"/>
      <c r="AU118" s="89"/>
      <c r="AV118" s="89"/>
      <c r="AW118" s="89"/>
      <c r="AX118" s="89"/>
      <c r="AY118" s="89"/>
      <c r="AZ118" s="89"/>
      <c r="BA118" s="89"/>
      <c r="BB118" s="89"/>
      <c r="BC118" s="89"/>
      <c r="BD118" s="89"/>
      <c r="BE118" s="89"/>
      <c r="BF118" s="89"/>
      <c r="BG118" s="89"/>
      <c r="BH118" s="89"/>
      <c r="BI118" s="89"/>
      <c r="BJ118" s="89"/>
      <c r="BK118" s="89"/>
      <c r="BL118" s="89"/>
      <c r="BM118" s="89"/>
      <c r="BN118" s="89"/>
      <c r="BO118" s="89"/>
      <c r="BP118" s="89"/>
      <c r="BQ118" s="89"/>
      <c r="BR118" s="89"/>
      <c r="BS118" s="89"/>
      <c r="BT118" s="89"/>
      <c r="BU118" s="89"/>
      <c r="BV118" s="89"/>
      <c r="BW118" s="89"/>
      <c r="BX118" s="89"/>
      <c r="BY118" s="89"/>
      <c r="BZ118" s="89"/>
      <c r="CA118" s="89"/>
      <c r="CB118" s="89"/>
      <c r="CC118" s="89"/>
      <c r="CD118" s="89"/>
      <c r="CE118" s="89"/>
      <c r="CF118" s="89"/>
      <c r="CG118" s="89"/>
      <c r="CH118" s="89"/>
      <c r="CI118" s="89"/>
      <c r="CJ118" s="89"/>
      <c r="CK118" s="89"/>
      <c r="CL118" s="89"/>
      <c r="CM118" s="89"/>
      <c r="CN118" s="89"/>
      <c r="CO118" s="89"/>
      <c r="CP118" s="89"/>
      <c r="CQ118" s="89"/>
      <c r="CR118" s="89"/>
      <c r="CS118" s="89"/>
      <c r="CT118" s="89"/>
      <c r="CU118" s="89"/>
      <c r="CV118" s="89"/>
      <c r="CW118" s="89"/>
      <c r="CX118" s="89"/>
      <c r="CY118" s="89"/>
      <c r="CZ118" s="89"/>
      <c r="DA118" s="89"/>
      <c r="DB118" s="89"/>
      <c r="DC118" s="89"/>
      <c r="DD118" s="89"/>
      <c r="DE118" s="89"/>
      <c r="DF118" s="89"/>
      <c r="DG118" s="89"/>
      <c r="DH118" s="89"/>
      <c r="DI118" s="89"/>
      <c r="DJ118" s="89"/>
      <c r="DK118" s="89"/>
      <c r="DL118" s="89"/>
      <c r="DM118" s="89"/>
      <c r="DN118" s="89"/>
      <c r="DO118" s="89"/>
      <c r="DP118" s="89"/>
      <c r="DQ118" s="89"/>
      <c r="DR118" s="89"/>
      <c r="DS118" s="89"/>
      <c r="DT118" s="89"/>
      <c r="DU118" s="89"/>
      <c r="DV118" s="89"/>
      <c r="DW118" s="89"/>
      <c r="DX118" s="89"/>
      <c r="DY118" s="89"/>
      <c r="DZ118" s="89"/>
      <c r="EA118" s="89"/>
      <c r="EB118" s="89"/>
      <c r="EC118" s="89"/>
      <c r="ED118" s="89"/>
      <c r="EE118" s="89"/>
      <c r="EF118" s="89"/>
      <c r="EG118" s="89"/>
      <c r="EH118" s="89"/>
      <c r="EI118" s="89"/>
      <c r="EJ118" s="89"/>
      <c r="EK118" s="89"/>
      <c r="EL118" s="89"/>
      <c r="EM118" s="89"/>
      <c r="EN118" s="89"/>
      <c r="EO118" s="89"/>
      <c r="EP118" s="89"/>
      <c r="EQ118" s="89"/>
      <c r="ER118" s="89"/>
      <c r="ES118" s="89"/>
      <c r="ET118" s="89"/>
      <c r="EU118" s="89"/>
      <c r="EV118" s="89"/>
      <c r="EW118" s="89"/>
      <c r="EX118" s="89"/>
      <c r="EY118" s="89"/>
      <c r="EZ118" s="89"/>
      <c r="FA118" s="89"/>
      <c r="FB118" s="89"/>
      <c r="FC118" s="89"/>
      <c r="FD118" s="89"/>
      <c r="FE118" s="89"/>
      <c r="FF118" s="89"/>
      <c r="FG118" s="89"/>
      <c r="FH118" s="89"/>
      <c r="FI118" s="89"/>
      <c r="FJ118" s="89"/>
      <c r="FK118" s="89"/>
      <c r="FL118" s="89"/>
      <c r="FM118" s="89"/>
      <c r="FN118" s="89"/>
      <c r="FO118" s="89"/>
      <c r="FP118" s="89"/>
      <c r="FQ118" s="89"/>
      <c r="FR118" s="89"/>
      <c r="FS118" s="89"/>
      <c r="FT118" s="89"/>
      <c r="FU118" s="89"/>
      <c r="FV118" s="89"/>
      <c r="FW118" s="89"/>
      <c r="FX118" s="89"/>
      <c r="FY118" s="89"/>
      <c r="FZ118" s="89"/>
      <c r="GA118" s="89"/>
      <c r="GB118" s="89"/>
      <c r="GC118" s="89"/>
      <c r="GD118" s="89"/>
      <c r="GE118" s="89"/>
      <c r="GF118" s="89"/>
      <c r="GG118" s="89"/>
      <c r="GH118" s="89"/>
      <c r="GI118" s="89"/>
      <c r="GJ118" s="89"/>
      <c r="GK118" s="89"/>
      <c r="GL118" s="89"/>
      <c r="GM118" s="89"/>
      <c r="GN118" s="89"/>
      <c r="GO118" s="89"/>
      <c r="GP118" s="89"/>
      <c r="GQ118" s="89"/>
      <c r="GR118" s="89"/>
      <c r="GS118" s="89"/>
      <c r="GT118" s="89"/>
      <c r="GU118" s="89"/>
      <c r="GV118" s="89"/>
      <c r="GW118" s="89"/>
      <c r="GX118" s="89"/>
      <c r="GY118" s="89"/>
      <c r="GZ118" s="89"/>
      <c r="HA118" s="89"/>
      <c r="HB118" s="89"/>
      <c r="HC118" s="89"/>
      <c r="HD118" s="89"/>
      <c r="HE118" s="89"/>
      <c r="HF118" s="89"/>
      <c r="HG118" s="89"/>
      <c r="HH118" s="89"/>
      <c r="HI118" s="89"/>
      <c r="HJ118" s="89"/>
      <c r="HK118" s="89"/>
      <c r="HL118" s="89"/>
      <c r="HM118" s="89"/>
      <c r="HN118" s="89"/>
      <c r="HO118" s="89"/>
      <c r="HP118" s="89"/>
      <c r="HQ118" s="89"/>
      <c r="HR118" s="89"/>
      <c r="HS118" s="89"/>
    </row>
    <row r="119" spans="1:256" s="35" customFormat="1">
      <c r="B119" s="89"/>
      <c r="C119" s="90"/>
      <c r="D119" s="91"/>
      <c r="E119" s="91"/>
      <c r="F119" s="92"/>
      <c r="G119" s="92"/>
      <c r="H119" s="92"/>
      <c r="I119" s="92"/>
      <c r="J119" s="92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89"/>
      <c r="BX119" s="89"/>
      <c r="BY119" s="89"/>
      <c r="BZ119" s="89"/>
      <c r="CA119" s="89"/>
      <c r="CB119" s="89"/>
      <c r="CC119" s="89"/>
      <c r="CD119" s="89"/>
      <c r="CE119" s="89"/>
      <c r="CF119" s="89"/>
      <c r="CG119" s="89"/>
      <c r="CH119" s="89"/>
      <c r="CI119" s="89"/>
      <c r="CJ119" s="89"/>
      <c r="CK119" s="89"/>
      <c r="CL119" s="89"/>
      <c r="CM119" s="89"/>
      <c r="CN119" s="89"/>
      <c r="CO119" s="89"/>
      <c r="CP119" s="89"/>
      <c r="CQ119" s="89"/>
      <c r="CR119" s="89"/>
      <c r="CS119" s="89"/>
      <c r="CT119" s="89"/>
      <c r="CU119" s="89"/>
      <c r="CV119" s="89"/>
      <c r="CW119" s="89"/>
      <c r="CX119" s="89"/>
      <c r="CY119" s="89"/>
      <c r="CZ119" s="89"/>
      <c r="DA119" s="89"/>
      <c r="DB119" s="89"/>
      <c r="DC119" s="89"/>
      <c r="DD119" s="89"/>
      <c r="DE119" s="89"/>
      <c r="DF119" s="89"/>
      <c r="DG119" s="89"/>
      <c r="DH119" s="89"/>
      <c r="DI119" s="89"/>
      <c r="DJ119" s="89"/>
      <c r="DK119" s="89"/>
      <c r="DL119" s="89"/>
      <c r="DM119" s="89"/>
      <c r="DN119" s="89"/>
      <c r="DO119" s="89"/>
      <c r="DP119" s="89"/>
      <c r="DQ119" s="89"/>
      <c r="DR119" s="89"/>
      <c r="DS119" s="89"/>
      <c r="DT119" s="89"/>
      <c r="DU119" s="89"/>
      <c r="DV119" s="89"/>
      <c r="DW119" s="89"/>
      <c r="DX119" s="89"/>
      <c r="DY119" s="89"/>
      <c r="DZ119" s="89"/>
      <c r="EA119" s="89"/>
      <c r="EB119" s="89"/>
      <c r="EC119" s="89"/>
      <c r="ED119" s="89"/>
      <c r="EE119" s="89"/>
      <c r="EF119" s="89"/>
      <c r="EG119" s="89"/>
      <c r="EH119" s="89"/>
      <c r="EI119" s="89"/>
      <c r="EJ119" s="89"/>
      <c r="EK119" s="89"/>
      <c r="EL119" s="89"/>
      <c r="EM119" s="89"/>
      <c r="EN119" s="89"/>
      <c r="EO119" s="89"/>
      <c r="EP119" s="89"/>
      <c r="EQ119" s="89"/>
      <c r="ER119" s="89"/>
      <c r="ES119" s="89"/>
      <c r="ET119" s="89"/>
      <c r="EU119" s="89"/>
      <c r="EV119" s="89"/>
      <c r="EW119" s="89"/>
      <c r="EX119" s="89"/>
      <c r="EY119" s="89"/>
      <c r="EZ119" s="89"/>
      <c r="FA119" s="89"/>
      <c r="FB119" s="89"/>
      <c r="FC119" s="89"/>
      <c r="FD119" s="89"/>
      <c r="FE119" s="89"/>
      <c r="FF119" s="89"/>
      <c r="FG119" s="89"/>
      <c r="FH119" s="89"/>
      <c r="FI119" s="89"/>
      <c r="FJ119" s="89"/>
      <c r="FK119" s="89"/>
      <c r="FL119" s="89"/>
      <c r="FM119" s="89"/>
      <c r="FN119" s="89"/>
      <c r="FO119" s="89"/>
      <c r="FP119" s="89"/>
      <c r="FQ119" s="89"/>
      <c r="FR119" s="89"/>
      <c r="FS119" s="89"/>
      <c r="FT119" s="89"/>
      <c r="FU119" s="89"/>
      <c r="FV119" s="89"/>
      <c r="FW119" s="89"/>
      <c r="FX119" s="89"/>
      <c r="FY119" s="89"/>
      <c r="FZ119" s="89"/>
      <c r="GA119" s="89"/>
      <c r="GB119" s="89"/>
      <c r="GC119" s="89"/>
      <c r="GD119" s="89"/>
      <c r="GE119" s="89"/>
      <c r="GF119" s="89"/>
      <c r="GG119" s="89"/>
      <c r="GH119" s="89"/>
      <c r="GI119" s="89"/>
      <c r="GJ119" s="89"/>
      <c r="GK119" s="89"/>
      <c r="GL119" s="89"/>
      <c r="GM119" s="89"/>
      <c r="GN119" s="89"/>
      <c r="GO119" s="89"/>
      <c r="GP119" s="89"/>
      <c r="GQ119" s="89"/>
      <c r="GR119" s="89"/>
      <c r="GS119" s="89"/>
      <c r="GT119" s="89"/>
      <c r="GU119" s="89"/>
      <c r="GV119" s="89"/>
      <c r="GW119" s="89"/>
      <c r="GX119" s="89"/>
      <c r="GY119" s="89"/>
      <c r="GZ119" s="89"/>
      <c r="HA119" s="89"/>
      <c r="HB119" s="89"/>
      <c r="HC119" s="89"/>
      <c r="HD119" s="89"/>
      <c r="HE119" s="89"/>
      <c r="HF119" s="89"/>
      <c r="HG119" s="89"/>
      <c r="HH119" s="89"/>
      <c r="HI119" s="89"/>
      <c r="HJ119" s="89"/>
      <c r="HK119" s="89"/>
      <c r="HL119" s="89"/>
      <c r="HM119" s="89"/>
      <c r="HN119" s="89"/>
      <c r="HO119" s="89"/>
      <c r="HP119" s="89"/>
      <c r="HQ119" s="89"/>
      <c r="HR119" s="89"/>
      <c r="HS119" s="89"/>
    </row>
    <row r="120" spans="1:256" s="35" customFormat="1">
      <c r="B120" s="89"/>
      <c r="C120" s="90"/>
      <c r="D120" s="91"/>
      <c r="E120" s="91"/>
      <c r="F120" s="92"/>
      <c r="G120" s="92"/>
      <c r="H120" s="92"/>
      <c r="I120" s="92"/>
      <c r="J120" s="92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  <c r="AS120" s="89"/>
      <c r="AT120" s="89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89"/>
      <c r="BX120" s="89"/>
      <c r="BY120" s="89"/>
      <c r="BZ120" s="89"/>
      <c r="CA120" s="89"/>
      <c r="CB120" s="89"/>
      <c r="CC120" s="89"/>
      <c r="CD120" s="89"/>
      <c r="CE120" s="89"/>
      <c r="CF120" s="89"/>
      <c r="CG120" s="89"/>
      <c r="CH120" s="89"/>
      <c r="CI120" s="89"/>
      <c r="CJ120" s="89"/>
      <c r="CK120" s="89"/>
      <c r="CL120" s="89"/>
      <c r="CM120" s="89"/>
      <c r="CN120" s="89"/>
      <c r="CO120" s="89"/>
      <c r="CP120" s="89"/>
      <c r="CQ120" s="89"/>
      <c r="CR120" s="89"/>
      <c r="CS120" s="89"/>
      <c r="CT120" s="89"/>
      <c r="CU120" s="89"/>
      <c r="CV120" s="89"/>
      <c r="CW120" s="89"/>
      <c r="CX120" s="89"/>
      <c r="CY120" s="89"/>
      <c r="CZ120" s="89"/>
      <c r="DA120" s="89"/>
      <c r="DB120" s="89"/>
      <c r="DC120" s="89"/>
      <c r="DD120" s="89"/>
      <c r="DE120" s="89"/>
      <c r="DF120" s="89"/>
      <c r="DG120" s="89"/>
      <c r="DH120" s="89"/>
      <c r="DI120" s="89"/>
      <c r="DJ120" s="89"/>
      <c r="DK120" s="89"/>
      <c r="DL120" s="89"/>
      <c r="DM120" s="89"/>
      <c r="DN120" s="89"/>
      <c r="DO120" s="89"/>
      <c r="DP120" s="89"/>
      <c r="DQ120" s="89"/>
      <c r="DR120" s="89"/>
      <c r="DS120" s="89"/>
      <c r="DT120" s="89"/>
      <c r="DU120" s="89"/>
      <c r="DV120" s="89"/>
      <c r="DW120" s="89"/>
      <c r="DX120" s="89"/>
      <c r="DY120" s="89"/>
      <c r="DZ120" s="89"/>
      <c r="EA120" s="89"/>
      <c r="EB120" s="89"/>
      <c r="EC120" s="89"/>
      <c r="ED120" s="89"/>
      <c r="EE120" s="89"/>
      <c r="EF120" s="89"/>
      <c r="EG120" s="89"/>
      <c r="EH120" s="89"/>
      <c r="EI120" s="89"/>
      <c r="EJ120" s="89"/>
      <c r="EK120" s="89"/>
      <c r="EL120" s="89"/>
      <c r="EM120" s="89"/>
      <c r="EN120" s="89"/>
      <c r="EO120" s="89"/>
      <c r="EP120" s="89"/>
      <c r="EQ120" s="89"/>
      <c r="ER120" s="89"/>
      <c r="ES120" s="89"/>
      <c r="ET120" s="89"/>
      <c r="EU120" s="89"/>
      <c r="EV120" s="89"/>
      <c r="EW120" s="89"/>
      <c r="EX120" s="89"/>
      <c r="EY120" s="89"/>
      <c r="EZ120" s="89"/>
      <c r="FA120" s="89"/>
      <c r="FB120" s="89"/>
      <c r="FC120" s="89"/>
      <c r="FD120" s="89"/>
      <c r="FE120" s="89"/>
      <c r="FF120" s="89"/>
      <c r="FG120" s="89"/>
      <c r="FH120" s="89"/>
      <c r="FI120" s="89"/>
      <c r="FJ120" s="89"/>
      <c r="FK120" s="89"/>
      <c r="FL120" s="89"/>
      <c r="FM120" s="89"/>
      <c r="FN120" s="89"/>
      <c r="FO120" s="89"/>
      <c r="FP120" s="89"/>
      <c r="FQ120" s="89"/>
      <c r="FR120" s="89"/>
      <c r="FS120" s="89"/>
      <c r="FT120" s="89"/>
      <c r="FU120" s="89"/>
      <c r="FV120" s="89"/>
      <c r="FW120" s="89"/>
      <c r="FX120" s="89"/>
      <c r="FY120" s="89"/>
      <c r="FZ120" s="89"/>
      <c r="GA120" s="89"/>
      <c r="GB120" s="89"/>
      <c r="GC120" s="89"/>
      <c r="GD120" s="89"/>
      <c r="GE120" s="89"/>
      <c r="GF120" s="89"/>
      <c r="GG120" s="89"/>
      <c r="GH120" s="89"/>
      <c r="GI120" s="89"/>
      <c r="GJ120" s="89"/>
      <c r="GK120" s="89"/>
      <c r="GL120" s="89"/>
      <c r="GM120" s="89"/>
      <c r="GN120" s="89"/>
      <c r="GO120" s="89"/>
      <c r="GP120" s="89"/>
      <c r="GQ120" s="89"/>
      <c r="GR120" s="89"/>
      <c r="GS120" s="89"/>
      <c r="GT120" s="89"/>
      <c r="GU120" s="89"/>
      <c r="GV120" s="89"/>
      <c r="GW120" s="89"/>
      <c r="GX120" s="89"/>
      <c r="GY120" s="89"/>
      <c r="GZ120" s="89"/>
      <c r="HA120" s="89"/>
      <c r="HB120" s="89"/>
      <c r="HC120" s="89"/>
      <c r="HD120" s="89"/>
      <c r="HE120" s="89"/>
      <c r="HF120" s="89"/>
      <c r="HG120" s="89"/>
      <c r="HH120" s="89"/>
      <c r="HI120" s="89"/>
      <c r="HJ120" s="89"/>
      <c r="HK120" s="89"/>
      <c r="HL120" s="89"/>
      <c r="HM120" s="89"/>
      <c r="HN120" s="89"/>
      <c r="HO120" s="89"/>
      <c r="HP120" s="89"/>
      <c r="HQ120" s="89"/>
      <c r="HR120" s="89"/>
      <c r="HS120" s="89"/>
    </row>
    <row r="121" spans="1:256" s="35" customFormat="1">
      <c r="B121" s="89"/>
      <c r="C121" s="90"/>
      <c r="D121" s="91"/>
      <c r="E121" s="91"/>
      <c r="F121" s="92"/>
      <c r="G121" s="92"/>
      <c r="H121" s="92"/>
      <c r="I121" s="92"/>
      <c r="J121" s="92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89"/>
      <c r="BM121" s="89"/>
      <c r="BN121" s="89"/>
      <c r="BO121" s="89"/>
      <c r="BP121" s="89"/>
      <c r="BQ121" s="89"/>
      <c r="BR121" s="89"/>
      <c r="BS121" s="89"/>
      <c r="BT121" s="89"/>
      <c r="BU121" s="89"/>
      <c r="BV121" s="89"/>
      <c r="BW121" s="89"/>
      <c r="BX121" s="89"/>
      <c r="BY121" s="89"/>
      <c r="BZ121" s="89"/>
      <c r="CA121" s="89"/>
      <c r="CB121" s="89"/>
      <c r="CC121" s="89"/>
      <c r="CD121" s="89"/>
      <c r="CE121" s="89"/>
      <c r="CF121" s="89"/>
      <c r="CG121" s="89"/>
      <c r="CH121" s="89"/>
      <c r="CI121" s="89"/>
      <c r="CJ121" s="89"/>
      <c r="CK121" s="89"/>
      <c r="CL121" s="89"/>
      <c r="CM121" s="89"/>
      <c r="CN121" s="89"/>
      <c r="CO121" s="89"/>
      <c r="CP121" s="89"/>
      <c r="CQ121" s="89"/>
      <c r="CR121" s="89"/>
      <c r="CS121" s="89"/>
      <c r="CT121" s="89"/>
      <c r="CU121" s="89"/>
      <c r="CV121" s="89"/>
      <c r="CW121" s="89"/>
      <c r="CX121" s="89"/>
      <c r="CY121" s="89"/>
      <c r="CZ121" s="89"/>
      <c r="DA121" s="89"/>
      <c r="DB121" s="89"/>
      <c r="DC121" s="89"/>
      <c r="DD121" s="89"/>
      <c r="DE121" s="89"/>
      <c r="DF121" s="89"/>
      <c r="DG121" s="89"/>
      <c r="DH121" s="89"/>
      <c r="DI121" s="89"/>
      <c r="DJ121" s="89"/>
      <c r="DK121" s="89"/>
      <c r="DL121" s="89"/>
      <c r="DM121" s="89"/>
      <c r="DN121" s="89"/>
      <c r="DO121" s="89"/>
      <c r="DP121" s="89"/>
      <c r="DQ121" s="89"/>
      <c r="DR121" s="89"/>
      <c r="DS121" s="89"/>
      <c r="DT121" s="89"/>
      <c r="DU121" s="89"/>
      <c r="DV121" s="89"/>
      <c r="DW121" s="89"/>
      <c r="DX121" s="89"/>
      <c r="DY121" s="89"/>
      <c r="DZ121" s="89"/>
      <c r="EA121" s="89"/>
      <c r="EB121" s="89"/>
      <c r="EC121" s="89"/>
      <c r="ED121" s="89"/>
      <c r="EE121" s="89"/>
      <c r="EF121" s="89"/>
      <c r="EG121" s="89"/>
      <c r="EH121" s="89"/>
      <c r="EI121" s="89"/>
      <c r="EJ121" s="89"/>
      <c r="EK121" s="89"/>
      <c r="EL121" s="89"/>
      <c r="EM121" s="89"/>
      <c r="EN121" s="89"/>
      <c r="EO121" s="89"/>
      <c r="EP121" s="89"/>
      <c r="EQ121" s="89"/>
      <c r="ER121" s="89"/>
      <c r="ES121" s="89"/>
      <c r="ET121" s="89"/>
      <c r="EU121" s="89"/>
      <c r="EV121" s="89"/>
      <c r="EW121" s="89"/>
      <c r="EX121" s="89"/>
      <c r="EY121" s="89"/>
      <c r="EZ121" s="89"/>
      <c r="FA121" s="89"/>
      <c r="FB121" s="89"/>
      <c r="FC121" s="89"/>
      <c r="FD121" s="89"/>
      <c r="FE121" s="89"/>
      <c r="FF121" s="89"/>
      <c r="FG121" s="89"/>
      <c r="FH121" s="89"/>
      <c r="FI121" s="89"/>
      <c r="FJ121" s="89"/>
      <c r="FK121" s="89"/>
      <c r="FL121" s="89"/>
      <c r="FM121" s="89"/>
      <c r="FN121" s="89"/>
      <c r="FO121" s="89"/>
      <c r="FP121" s="89"/>
      <c r="FQ121" s="89"/>
      <c r="FR121" s="89"/>
      <c r="FS121" s="89"/>
      <c r="FT121" s="89"/>
      <c r="FU121" s="89"/>
      <c r="FV121" s="89"/>
      <c r="FW121" s="89"/>
      <c r="FX121" s="89"/>
      <c r="FY121" s="89"/>
      <c r="FZ121" s="89"/>
      <c r="GA121" s="89"/>
      <c r="GB121" s="89"/>
      <c r="GC121" s="89"/>
      <c r="GD121" s="89"/>
      <c r="GE121" s="89"/>
      <c r="GF121" s="89"/>
      <c r="GG121" s="89"/>
      <c r="GH121" s="89"/>
      <c r="GI121" s="89"/>
      <c r="GJ121" s="89"/>
      <c r="GK121" s="89"/>
      <c r="GL121" s="89"/>
      <c r="GM121" s="89"/>
      <c r="GN121" s="89"/>
      <c r="GO121" s="89"/>
      <c r="GP121" s="89"/>
      <c r="GQ121" s="89"/>
      <c r="GR121" s="89"/>
      <c r="GS121" s="89"/>
      <c r="GT121" s="89"/>
      <c r="GU121" s="89"/>
      <c r="GV121" s="89"/>
      <c r="GW121" s="89"/>
      <c r="GX121" s="89"/>
      <c r="GY121" s="89"/>
      <c r="GZ121" s="89"/>
      <c r="HA121" s="89"/>
      <c r="HB121" s="89"/>
      <c r="HC121" s="89"/>
      <c r="HD121" s="89"/>
      <c r="HE121" s="89"/>
      <c r="HF121" s="89"/>
      <c r="HG121" s="89"/>
      <c r="HH121" s="89"/>
      <c r="HI121" s="89"/>
      <c r="HJ121" s="89"/>
      <c r="HK121" s="89"/>
      <c r="HL121" s="89"/>
      <c r="HM121" s="89"/>
      <c r="HN121" s="89"/>
      <c r="HO121" s="89"/>
      <c r="HP121" s="89"/>
      <c r="HQ121" s="89"/>
      <c r="HR121" s="89"/>
      <c r="HS121" s="89"/>
    </row>
    <row r="122" spans="1:256" s="35" customFormat="1">
      <c r="B122" s="89"/>
      <c r="C122" s="90"/>
      <c r="D122" s="91"/>
      <c r="E122" s="91"/>
      <c r="F122" s="92"/>
      <c r="G122" s="92"/>
      <c r="H122" s="92"/>
      <c r="I122" s="92"/>
      <c r="J122" s="92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89"/>
      <c r="BM122" s="89"/>
      <c r="BN122" s="89"/>
      <c r="BO122" s="89"/>
      <c r="BP122" s="89"/>
      <c r="BQ122" s="89"/>
      <c r="BR122" s="89"/>
      <c r="BS122" s="89"/>
      <c r="BT122" s="89"/>
      <c r="BU122" s="89"/>
      <c r="BV122" s="89"/>
      <c r="BW122" s="89"/>
      <c r="BX122" s="89"/>
      <c r="BY122" s="89"/>
      <c r="BZ122" s="89"/>
      <c r="CA122" s="89"/>
      <c r="CB122" s="89"/>
      <c r="CC122" s="89"/>
      <c r="CD122" s="89"/>
      <c r="CE122" s="89"/>
      <c r="CF122" s="89"/>
      <c r="CG122" s="89"/>
      <c r="CH122" s="89"/>
      <c r="CI122" s="89"/>
      <c r="CJ122" s="89"/>
      <c r="CK122" s="89"/>
      <c r="CL122" s="89"/>
      <c r="CM122" s="89"/>
      <c r="CN122" s="89"/>
      <c r="CO122" s="89"/>
      <c r="CP122" s="89"/>
      <c r="CQ122" s="89"/>
      <c r="CR122" s="89"/>
      <c r="CS122" s="89"/>
      <c r="CT122" s="89"/>
      <c r="CU122" s="89"/>
      <c r="CV122" s="89"/>
      <c r="CW122" s="89"/>
      <c r="CX122" s="89"/>
      <c r="CY122" s="89"/>
      <c r="CZ122" s="89"/>
      <c r="DA122" s="89"/>
      <c r="DB122" s="89"/>
      <c r="DC122" s="89"/>
      <c r="DD122" s="89"/>
      <c r="DE122" s="89"/>
      <c r="DF122" s="89"/>
      <c r="DG122" s="89"/>
      <c r="DH122" s="89"/>
      <c r="DI122" s="89"/>
      <c r="DJ122" s="89"/>
      <c r="DK122" s="89"/>
      <c r="DL122" s="89"/>
      <c r="DM122" s="89"/>
      <c r="DN122" s="89"/>
      <c r="DO122" s="89"/>
      <c r="DP122" s="89"/>
      <c r="DQ122" s="89"/>
      <c r="DR122" s="89"/>
      <c r="DS122" s="89"/>
      <c r="DT122" s="89"/>
      <c r="DU122" s="89"/>
      <c r="DV122" s="89"/>
      <c r="DW122" s="89"/>
      <c r="DX122" s="89"/>
      <c r="DY122" s="89"/>
      <c r="DZ122" s="89"/>
      <c r="EA122" s="89"/>
      <c r="EB122" s="89"/>
      <c r="EC122" s="89"/>
      <c r="ED122" s="89"/>
      <c r="EE122" s="89"/>
      <c r="EF122" s="89"/>
      <c r="EG122" s="89"/>
      <c r="EH122" s="89"/>
      <c r="EI122" s="89"/>
      <c r="EJ122" s="89"/>
      <c r="EK122" s="89"/>
      <c r="EL122" s="89"/>
      <c r="EM122" s="89"/>
      <c r="EN122" s="89"/>
      <c r="EO122" s="89"/>
      <c r="EP122" s="89"/>
      <c r="EQ122" s="89"/>
      <c r="ER122" s="89"/>
      <c r="ES122" s="89"/>
      <c r="ET122" s="89"/>
      <c r="EU122" s="89"/>
      <c r="EV122" s="89"/>
      <c r="EW122" s="89"/>
      <c r="EX122" s="89"/>
      <c r="EY122" s="89"/>
      <c r="EZ122" s="89"/>
      <c r="FA122" s="89"/>
      <c r="FB122" s="89"/>
      <c r="FC122" s="89"/>
      <c r="FD122" s="89"/>
      <c r="FE122" s="89"/>
      <c r="FF122" s="89"/>
      <c r="FG122" s="89"/>
      <c r="FH122" s="89"/>
      <c r="FI122" s="89"/>
      <c r="FJ122" s="89"/>
      <c r="FK122" s="89"/>
      <c r="FL122" s="89"/>
      <c r="FM122" s="89"/>
      <c r="FN122" s="89"/>
      <c r="FO122" s="89"/>
      <c r="FP122" s="89"/>
      <c r="FQ122" s="89"/>
      <c r="FR122" s="89"/>
      <c r="FS122" s="89"/>
      <c r="FT122" s="89"/>
      <c r="FU122" s="89"/>
      <c r="FV122" s="89"/>
      <c r="FW122" s="89"/>
      <c r="FX122" s="89"/>
      <c r="FY122" s="89"/>
      <c r="FZ122" s="89"/>
      <c r="GA122" s="89"/>
      <c r="GB122" s="89"/>
      <c r="GC122" s="89"/>
      <c r="GD122" s="89"/>
      <c r="GE122" s="89"/>
      <c r="GF122" s="89"/>
      <c r="GG122" s="89"/>
      <c r="GH122" s="89"/>
      <c r="GI122" s="89"/>
      <c r="GJ122" s="89"/>
      <c r="GK122" s="89"/>
      <c r="GL122" s="89"/>
      <c r="GM122" s="89"/>
      <c r="GN122" s="89"/>
      <c r="GO122" s="89"/>
      <c r="GP122" s="89"/>
      <c r="GQ122" s="89"/>
      <c r="GR122" s="89"/>
      <c r="GS122" s="89"/>
      <c r="GT122" s="89"/>
      <c r="GU122" s="89"/>
      <c r="GV122" s="89"/>
      <c r="GW122" s="89"/>
      <c r="GX122" s="89"/>
      <c r="GY122" s="89"/>
      <c r="GZ122" s="89"/>
      <c r="HA122" s="89"/>
      <c r="HB122" s="89"/>
      <c r="HC122" s="89"/>
      <c r="HD122" s="89"/>
      <c r="HE122" s="89"/>
      <c r="HF122" s="89"/>
      <c r="HG122" s="89"/>
      <c r="HH122" s="89"/>
      <c r="HI122" s="89"/>
      <c r="HJ122" s="89"/>
      <c r="HK122" s="89"/>
      <c r="HL122" s="89"/>
      <c r="HM122" s="89"/>
      <c r="HN122" s="89"/>
      <c r="HO122" s="89"/>
      <c r="HP122" s="89"/>
      <c r="HQ122" s="89"/>
      <c r="HR122" s="89"/>
      <c r="HS122" s="89"/>
    </row>
    <row r="123" spans="1:256" s="35" customFormat="1">
      <c r="B123" s="89"/>
      <c r="C123" s="90"/>
      <c r="D123" s="91"/>
      <c r="E123" s="91"/>
      <c r="F123" s="92"/>
      <c r="G123" s="92"/>
      <c r="H123" s="92"/>
      <c r="I123" s="92"/>
      <c r="J123" s="92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/>
      <c r="BF123" s="89"/>
      <c r="BG123" s="89"/>
      <c r="BH123" s="89"/>
      <c r="BI123" s="89"/>
      <c r="BJ123" s="89"/>
      <c r="BK123" s="89"/>
      <c r="BL123" s="89"/>
      <c r="BM123" s="89"/>
      <c r="BN123" s="89"/>
      <c r="BO123" s="89"/>
      <c r="BP123" s="89"/>
      <c r="BQ123" s="89"/>
      <c r="BR123" s="89"/>
      <c r="BS123" s="89"/>
      <c r="BT123" s="89"/>
      <c r="BU123" s="89"/>
      <c r="BV123" s="89"/>
      <c r="BW123" s="89"/>
      <c r="BX123" s="89"/>
      <c r="BY123" s="89"/>
      <c r="BZ123" s="89"/>
      <c r="CA123" s="89"/>
      <c r="CB123" s="89"/>
      <c r="CC123" s="89"/>
      <c r="CD123" s="89"/>
      <c r="CE123" s="89"/>
      <c r="CF123" s="89"/>
      <c r="CG123" s="89"/>
      <c r="CH123" s="89"/>
      <c r="CI123" s="89"/>
      <c r="CJ123" s="89"/>
      <c r="CK123" s="89"/>
      <c r="CL123" s="89"/>
      <c r="CM123" s="89"/>
      <c r="CN123" s="89"/>
      <c r="CO123" s="89"/>
      <c r="CP123" s="89"/>
      <c r="CQ123" s="89"/>
      <c r="CR123" s="89"/>
      <c r="CS123" s="89"/>
      <c r="CT123" s="89"/>
      <c r="CU123" s="89"/>
      <c r="CV123" s="89"/>
      <c r="CW123" s="89"/>
      <c r="CX123" s="89"/>
      <c r="CY123" s="89"/>
      <c r="CZ123" s="89"/>
      <c r="DA123" s="89"/>
      <c r="DB123" s="89"/>
      <c r="DC123" s="89"/>
      <c r="DD123" s="89"/>
      <c r="DE123" s="89"/>
      <c r="DF123" s="89"/>
      <c r="DG123" s="89"/>
      <c r="DH123" s="89"/>
      <c r="DI123" s="89"/>
      <c r="DJ123" s="89"/>
      <c r="DK123" s="89"/>
      <c r="DL123" s="89"/>
      <c r="DM123" s="89"/>
      <c r="DN123" s="89"/>
      <c r="DO123" s="89"/>
      <c r="DP123" s="89"/>
      <c r="DQ123" s="89"/>
      <c r="DR123" s="89"/>
      <c r="DS123" s="89"/>
      <c r="DT123" s="89"/>
      <c r="DU123" s="89"/>
      <c r="DV123" s="89"/>
      <c r="DW123" s="89"/>
      <c r="DX123" s="89"/>
      <c r="DY123" s="89"/>
      <c r="DZ123" s="89"/>
      <c r="EA123" s="89"/>
      <c r="EB123" s="89"/>
      <c r="EC123" s="89"/>
      <c r="ED123" s="89"/>
      <c r="EE123" s="89"/>
      <c r="EF123" s="89"/>
      <c r="EG123" s="89"/>
      <c r="EH123" s="89"/>
      <c r="EI123" s="89"/>
      <c r="EJ123" s="89"/>
      <c r="EK123" s="89"/>
      <c r="EL123" s="89"/>
      <c r="EM123" s="89"/>
      <c r="EN123" s="89"/>
      <c r="EO123" s="89"/>
      <c r="EP123" s="89"/>
      <c r="EQ123" s="89"/>
      <c r="ER123" s="89"/>
      <c r="ES123" s="89"/>
      <c r="ET123" s="89"/>
      <c r="EU123" s="89"/>
      <c r="EV123" s="89"/>
      <c r="EW123" s="89"/>
      <c r="EX123" s="89"/>
      <c r="EY123" s="89"/>
      <c r="EZ123" s="89"/>
      <c r="FA123" s="89"/>
      <c r="FB123" s="89"/>
      <c r="FC123" s="89"/>
      <c r="FD123" s="89"/>
      <c r="FE123" s="89"/>
      <c r="FF123" s="89"/>
      <c r="FG123" s="89"/>
      <c r="FH123" s="89"/>
      <c r="FI123" s="89"/>
      <c r="FJ123" s="89"/>
      <c r="FK123" s="89"/>
      <c r="FL123" s="89"/>
      <c r="FM123" s="89"/>
      <c r="FN123" s="89"/>
      <c r="FO123" s="89"/>
      <c r="FP123" s="89"/>
      <c r="FQ123" s="89"/>
      <c r="FR123" s="89"/>
      <c r="FS123" s="89"/>
      <c r="FT123" s="89"/>
      <c r="FU123" s="89"/>
      <c r="FV123" s="89"/>
      <c r="FW123" s="89"/>
      <c r="FX123" s="89"/>
      <c r="FY123" s="89"/>
      <c r="FZ123" s="89"/>
      <c r="GA123" s="89"/>
      <c r="GB123" s="89"/>
      <c r="GC123" s="89"/>
      <c r="GD123" s="89"/>
      <c r="GE123" s="89"/>
      <c r="GF123" s="89"/>
      <c r="GG123" s="89"/>
      <c r="GH123" s="89"/>
      <c r="GI123" s="89"/>
      <c r="GJ123" s="89"/>
      <c r="GK123" s="89"/>
      <c r="GL123" s="89"/>
      <c r="GM123" s="89"/>
      <c r="GN123" s="89"/>
      <c r="GO123" s="89"/>
      <c r="GP123" s="89"/>
      <c r="GQ123" s="89"/>
      <c r="GR123" s="89"/>
      <c r="GS123" s="89"/>
      <c r="GT123" s="89"/>
      <c r="GU123" s="89"/>
      <c r="GV123" s="89"/>
      <c r="GW123" s="89"/>
      <c r="GX123" s="89"/>
      <c r="GY123" s="89"/>
      <c r="GZ123" s="89"/>
      <c r="HA123" s="89"/>
      <c r="HB123" s="89"/>
      <c r="HC123" s="89"/>
      <c r="HD123" s="89"/>
      <c r="HE123" s="89"/>
      <c r="HF123" s="89"/>
      <c r="HG123" s="89"/>
      <c r="HH123" s="89"/>
      <c r="HI123" s="89"/>
      <c r="HJ123" s="89"/>
      <c r="HK123" s="89"/>
      <c r="HL123" s="89"/>
      <c r="HM123" s="89"/>
      <c r="HN123" s="89"/>
      <c r="HO123" s="89"/>
      <c r="HP123" s="89"/>
      <c r="HQ123" s="89"/>
      <c r="HR123" s="89"/>
      <c r="HS123" s="89"/>
    </row>
    <row r="124" spans="1:256" s="35" customFormat="1">
      <c r="B124" s="89"/>
      <c r="C124" s="90"/>
      <c r="D124" s="91"/>
      <c r="E124" s="91"/>
      <c r="F124" s="92"/>
      <c r="G124" s="92"/>
      <c r="H124" s="92"/>
      <c r="I124" s="92"/>
      <c r="J124" s="92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/>
      <c r="BF124" s="89"/>
      <c r="BG124" s="89"/>
      <c r="BH124" s="89"/>
      <c r="BI124" s="89"/>
      <c r="BJ124" s="89"/>
      <c r="BK124" s="89"/>
      <c r="BL124" s="89"/>
      <c r="BM124" s="89"/>
      <c r="BN124" s="89"/>
      <c r="BO124" s="89"/>
      <c r="BP124" s="89"/>
      <c r="BQ124" s="89"/>
      <c r="BR124" s="89"/>
      <c r="BS124" s="89"/>
      <c r="BT124" s="89"/>
      <c r="BU124" s="89"/>
      <c r="BV124" s="89"/>
      <c r="BW124" s="89"/>
      <c r="BX124" s="89"/>
      <c r="BY124" s="89"/>
      <c r="BZ124" s="89"/>
      <c r="CA124" s="89"/>
      <c r="CB124" s="89"/>
      <c r="CC124" s="89"/>
      <c r="CD124" s="89"/>
      <c r="CE124" s="89"/>
      <c r="CF124" s="89"/>
      <c r="CG124" s="89"/>
      <c r="CH124" s="89"/>
      <c r="CI124" s="89"/>
      <c r="CJ124" s="89"/>
      <c r="CK124" s="89"/>
      <c r="CL124" s="89"/>
      <c r="CM124" s="89"/>
      <c r="CN124" s="89"/>
      <c r="CO124" s="89"/>
      <c r="CP124" s="89"/>
      <c r="CQ124" s="89"/>
      <c r="CR124" s="89"/>
      <c r="CS124" s="89"/>
      <c r="CT124" s="89"/>
      <c r="CU124" s="89"/>
      <c r="CV124" s="89"/>
      <c r="CW124" s="89"/>
      <c r="CX124" s="89"/>
      <c r="CY124" s="89"/>
      <c r="CZ124" s="89"/>
      <c r="DA124" s="89"/>
      <c r="DB124" s="89"/>
      <c r="DC124" s="89"/>
      <c r="DD124" s="89"/>
      <c r="DE124" s="89"/>
      <c r="DF124" s="89"/>
      <c r="DG124" s="89"/>
      <c r="DH124" s="89"/>
      <c r="DI124" s="89"/>
      <c r="DJ124" s="89"/>
      <c r="DK124" s="89"/>
      <c r="DL124" s="89"/>
      <c r="DM124" s="89"/>
      <c r="DN124" s="89"/>
      <c r="DO124" s="89"/>
      <c r="DP124" s="89"/>
      <c r="DQ124" s="89"/>
      <c r="DR124" s="89"/>
      <c r="DS124" s="89"/>
      <c r="DT124" s="89"/>
      <c r="DU124" s="89"/>
      <c r="DV124" s="89"/>
      <c r="DW124" s="89"/>
      <c r="DX124" s="89"/>
      <c r="DY124" s="89"/>
      <c r="DZ124" s="89"/>
      <c r="EA124" s="89"/>
      <c r="EB124" s="89"/>
      <c r="EC124" s="89"/>
      <c r="ED124" s="89"/>
      <c r="EE124" s="89"/>
      <c r="EF124" s="89"/>
      <c r="EG124" s="89"/>
      <c r="EH124" s="89"/>
      <c r="EI124" s="89"/>
      <c r="EJ124" s="89"/>
      <c r="EK124" s="89"/>
      <c r="EL124" s="89"/>
      <c r="EM124" s="89"/>
      <c r="EN124" s="89"/>
      <c r="EO124" s="89"/>
      <c r="EP124" s="89"/>
      <c r="EQ124" s="89"/>
      <c r="ER124" s="89"/>
      <c r="ES124" s="89"/>
      <c r="ET124" s="89"/>
      <c r="EU124" s="89"/>
      <c r="EV124" s="89"/>
      <c r="EW124" s="89"/>
      <c r="EX124" s="89"/>
      <c r="EY124" s="89"/>
      <c r="EZ124" s="89"/>
      <c r="FA124" s="89"/>
      <c r="FB124" s="89"/>
      <c r="FC124" s="89"/>
      <c r="FD124" s="89"/>
      <c r="FE124" s="89"/>
      <c r="FF124" s="89"/>
      <c r="FG124" s="89"/>
      <c r="FH124" s="89"/>
      <c r="FI124" s="89"/>
      <c r="FJ124" s="89"/>
      <c r="FK124" s="89"/>
      <c r="FL124" s="89"/>
      <c r="FM124" s="89"/>
      <c r="FN124" s="89"/>
      <c r="FO124" s="89"/>
      <c r="FP124" s="89"/>
      <c r="FQ124" s="89"/>
      <c r="FR124" s="89"/>
      <c r="FS124" s="89"/>
      <c r="FT124" s="89"/>
      <c r="FU124" s="89"/>
      <c r="FV124" s="89"/>
      <c r="FW124" s="89"/>
      <c r="FX124" s="89"/>
      <c r="FY124" s="89"/>
      <c r="FZ124" s="89"/>
      <c r="GA124" s="89"/>
      <c r="GB124" s="89"/>
      <c r="GC124" s="89"/>
      <c r="GD124" s="89"/>
      <c r="GE124" s="89"/>
      <c r="GF124" s="89"/>
      <c r="GG124" s="89"/>
      <c r="GH124" s="89"/>
      <c r="GI124" s="89"/>
      <c r="GJ124" s="89"/>
      <c r="GK124" s="89"/>
      <c r="GL124" s="89"/>
      <c r="GM124" s="89"/>
      <c r="GN124" s="89"/>
      <c r="GO124" s="89"/>
      <c r="GP124" s="89"/>
      <c r="GQ124" s="89"/>
      <c r="GR124" s="89"/>
      <c r="GS124" s="89"/>
      <c r="GT124" s="89"/>
      <c r="GU124" s="89"/>
      <c r="GV124" s="89"/>
      <c r="GW124" s="89"/>
      <c r="GX124" s="89"/>
      <c r="GY124" s="89"/>
      <c r="GZ124" s="89"/>
      <c r="HA124" s="89"/>
      <c r="HB124" s="89"/>
      <c r="HC124" s="89"/>
      <c r="HD124" s="89"/>
      <c r="HE124" s="89"/>
      <c r="HF124" s="89"/>
      <c r="HG124" s="89"/>
      <c r="HH124" s="89"/>
      <c r="HI124" s="89"/>
      <c r="HJ124" s="89"/>
      <c r="HK124" s="89"/>
      <c r="HL124" s="89"/>
      <c r="HM124" s="89"/>
      <c r="HN124" s="89"/>
      <c r="HO124" s="89"/>
      <c r="HP124" s="89"/>
      <c r="HQ124" s="89"/>
      <c r="HR124" s="89"/>
      <c r="HS124" s="89"/>
    </row>
  </sheetData>
  <sheetProtection algorithmName="SHA-512" hashValue="ms01i8hcFnC+X0FwqG2zO1MAHuH0tdfWZ3Ym2K1+EUJMXfpJSXb7AUeAcwEgp5/1leqjS1tLY2aXBA4crW9FLw==" saltValue="dWk9I3Go4AWLDDffamphtw==" spinCount="100000" sheet="1" objects="1" scenarios="1" formatCells="0" formatColumns="0" formatRows="0" insertRows="0" deleteRows="0"/>
  <mergeCells count="40">
    <mergeCell ref="HG10:HM10"/>
    <mergeCell ref="HN10:HT10"/>
    <mergeCell ref="HU10:IA10"/>
    <mergeCell ref="IB10:IH10"/>
    <mergeCell ref="II10:IO10"/>
    <mergeCell ref="FX10:GD10"/>
    <mergeCell ref="GE10:GK10"/>
    <mergeCell ref="GL10:GR10"/>
    <mergeCell ref="GS10:GY10"/>
    <mergeCell ref="GZ10:HF10"/>
    <mergeCell ref="EO10:EU10"/>
    <mergeCell ref="EV10:FB10"/>
    <mergeCell ref="FC10:FI10"/>
    <mergeCell ref="FJ10:FP10"/>
    <mergeCell ref="FQ10:FW10"/>
    <mergeCell ref="DF10:DL10"/>
    <mergeCell ref="DM10:DS10"/>
    <mergeCell ref="DT10:DZ10"/>
    <mergeCell ref="EA10:EG10"/>
    <mergeCell ref="EH10:EN10"/>
    <mergeCell ref="BW10:CC10"/>
    <mergeCell ref="CD10:CJ10"/>
    <mergeCell ref="CK10:CQ10"/>
    <mergeCell ref="CR10:CX10"/>
    <mergeCell ref="CY10:DE10"/>
    <mergeCell ref="AN10:AT10"/>
    <mergeCell ref="AU10:BA10"/>
    <mergeCell ref="BB10:BH10"/>
    <mergeCell ref="BI10:BO10"/>
    <mergeCell ref="BP10:BV10"/>
    <mergeCell ref="C8:D8"/>
    <mergeCell ref="L10:R10"/>
    <mergeCell ref="S10:Y10"/>
    <mergeCell ref="Z10:AF10"/>
    <mergeCell ref="AG10:AM10"/>
    <mergeCell ref="G1:J1"/>
    <mergeCell ref="I2:J2"/>
    <mergeCell ref="H4:J4"/>
    <mergeCell ref="C6:E6"/>
    <mergeCell ref="C7:D7"/>
  </mergeCells>
  <phoneticPr fontId="7" type="noConversion"/>
  <conditionalFormatting sqref="L12:IO12 L14:IO14 L29:IO29 L33:IO33 L114:IO117 L46:IO52 L54:IO78 L80:IO112">
    <cfRule type="expression" dxfId="95" priority="694" stopIfTrue="1">
      <formula>L$9=$H$4</formula>
    </cfRule>
    <cfRule type="expression" dxfId="94" priority="695" stopIfTrue="1">
      <formula>AND(L$9&gt;=$D12,L$9&lt;$D12+$I12)</formula>
    </cfRule>
    <cfRule type="expression" dxfId="93" priority="696" stopIfTrue="1">
      <formula>AND(L$9&gt;=$D12,L$9&lt;=$D12+$F12-1)</formula>
    </cfRule>
  </conditionalFormatting>
  <conditionalFormatting sqref="L11:IO11 L53:IO53 L79:IO79 L113:IO113">
    <cfRule type="expression" dxfId="92" priority="697" stopIfTrue="1">
      <formula>L$9=$H$4</formula>
    </cfRule>
    <cfRule type="expression" dxfId="91" priority="698" stopIfTrue="1">
      <formula>AND(L$9&gt;=$D11,L$9&lt;$D11+$I11)</formula>
    </cfRule>
    <cfRule type="expression" dxfId="90" priority="699" stopIfTrue="1">
      <formula>AND(L$9&gt;=$D11,L$9&lt;=$D11+$F11-1)</formula>
    </cfRule>
  </conditionalFormatting>
  <conditionalFormatting sqref="L15:IO15">
    <cfRule type="expression" dxfId="89" priority="700" stopIfTrue="1">
      <formula>L$9=$H$4</formula>
    </cfRule>
    <cfRule type="expression" dxfId="88" priority="701" stopIfTrue="1">
      <formula>AND(L$9&gt;=$D15,L$9&lt;$D15+$I15)</formula>
    </cfRule>
    <cfRule type="expression" dxfId="87" priority="702" stopIfTrue="1">
      <formula>AND(L$9&gt;=$D15,L$9&lt;=$D15+$F15-1)</formula>
    </cfRule>
  </conditionalFormatting>
  <conditionalFormatting sqref="L13:IO13">
    <cfRule type="expression" dxfId="86" priority="703" stopIfTrue="1">
      <formula>L$9=$H$4</formula>
    </cfRule>
    <cfRule type="expression" dxfId="85" priority="704" stopIfTrue="1">
      <formula>AND(L$9&gt;=$D13,L$9&lt;$D13+$I13)</formula>
    </cfRule>
    <cfRule type="expression" dxfId="84" priority="705" stopIfTrue="1">
      <formula>AND(L$9&gt;=$D13,L$9&lt;=$D13+$F13-1)</formula>
    </cfRule>
  </conditionalFormatting>
  <conditionalFormatting sqref="L16:IO16">
    <cfRule type="expression" dxfId="83" priority="706" stopIfTrue="1">
      <formula>L$9=$H$4</formula>
    </cfRule>
    <cfRule type="expression" dxfId="82" priority="707" stopIfTrue="1">
      <formula>AND(L$9&gt;=$D16,L$9&lt;$D16+$I16)</formula>
    </cfRule>
    <cfRule type="expression" dxfId="81" priority="708" stopIfTrue="1">
      <formula>AND(L$9&gt;=$D16,L$9&lt;=$D16+$F16-1)</formula>
    </cfRule>
  </conditionalFormatting>
  <conditionalFormatting sqref="L17:IO17">
    <cfRule type="expression" dxfId="80" priority="709" stopIfTrue="1">
      <formula>L$9=$H$4</formula>
    </cfRule>
    <cfRule type="expression" dxfId="79" priority="710" stopIfTrue="1">
      <formula>AND(L$9&gt;=$D17,L$9&lt;$D17+$I17)</formula>
    </cfRule>
    <cfRule type="expression" dxfId="78" priority="711" stopIfTrue="1">
      <formula>AND(L$9&gt;=$D17,L$9&lt;=$D17+$F17-1)</formula>
    </cfRule>
  </conditionalFormatting>
  <conditionalFormatting sqref="L18:IO18">
    <cfRule type="expression" dxfId="77" priority="712" stopIfTrue="1">
      <formula>L$9=$H$4</formula>
    </cfRule>
    <cfRule type="expression" dxfId="76" priority="713" stopIfTrue="1">
      <formula>AND(L$9&gt;=$D18,L$9&lt;$D18+$I18)</formula>
    </cfRule>
    <cfRule type="expression" dxfId="75" priority="714" stopIfTrue="1">
      <formula>AND(L$9&gt;=$D18,L$9&lt;=$D18+$F18-1)</formula>
    </cfRule>
  </conditionalFormatting>
  <conditionalFormatting sqref="L19:IO19">
    <cfRule type="expression" dxfId="74" priority="715" stopIfTrue="1">
      <formula>L$9=$H$4</formula>
    </cfRule>
    <cfRule type="expression" dxfId="73" priority="716" stopIfTrue="1">
      <formula>AND(L$9&gt;=$D19,L$9&lt;$D19+$I19)</formula>
    </cfRule>
    <cfRule type="expression" dxfId="72" priority="717" stopIfTrue="1">
      <formula>AND(L$9&gt;=$D19,L$9&lt;=$D19+$F19-1)</formula>
    </cfRule>
  </conditionalFormatting>
  <conditionalFormatting sqref="L20:IO20">
    <cfRule type="expression" dxfId="71" priority="718" stopIfTrue="1">
      <formula>L$9=$H$4</formula>
    </cfRule>
    <cfRule type="expression" dxfId="70" priority="719" stopIfTrue="1">
      <formula>AND(L$9&gt;=$D20,L$9&lt;$D20+$I20)</formula>
    </cfRule>
    <cfRule type="expression" dxfId="69" priority="720" stopIfTrue="1">
      <formula>AND(L$9&gt;=$D20,L$9&lt;=$D20+$F20-1)</formula>
    </cfRule>
  </conditionalFormatting>
  <conditionalFormatting sqref="L21:IO21">
    <cfRule type="expression" dxfId="68" priority="721" stopIfTrue="1">
      <formula>L$9=$H$4</formula>
    </cfRule>
    <cfRule type="expression" dxfId="67" priority="722" stopIfTrue="1">
      <formula>AND(L$9&gt;=$D21,L$9&lt;$D21+$I21)</formula>
    </cfRule>
    <cfRule type="expression" dxfId="66" priority="723" stopIfTrue="1">
      <formula>AND(L$9&gt;=$D21,L$9&lt;=$D21+$F21-1)</formula>
    </cfRule>
  </conditionalFormatting>
  <conditionalFormatting sqref="L22:IO22">
    <cfRule type="expression" dxfId="65" priority="724" stopIfTrue="1">
      <formula>L$9=$H$4</formula>
    </cfRule>
    <cfRule type="expression" dxfId="64" priority="725" stopIfTrue="1">
      <formula>AND(L$9&gt;=$D22,L$9&lt;$D22+$I22)</formula>
    </cfRule>
    <cfRule type="expression" dxfId="63" priority="726" stopIfTrue="1">
      <formula>AND(L$9&gt;=$D22,L$9&lt;=$D22+$F22-1)</formula>
    </cfRule>
  </conditionalFormatting>
  <conditionalFormatting sqref="L23:IO23">
    <cfRule type="expression" dxfId="62" priority="727" stopIfTrue="1">
      <formula>L$9=$H$4</formula>
    </cfRule>
    <cfRule type="expression" dxfId="61" priority="728" stopIfTrue="1">
      <formula>AND(L$9&gt;=$D23,L$9&lt;$D23+$I23)</formula>
    </cfRule>
    <cfRule type="expression" dxfId="60" priority="729" stopIfTrue="1">
      <formula>AND(L$9&gt;=$D23,L$9&lt;=$D23+$F23-1)</formula>
    </cfRule>
  </conditionalFormatting>
  <conditionalFormatting sqref="L24:IO24">
    <cfRule type="expression" dxfId="59" priority="235" stopIfTrue="1">
      <formula>L$9=$H$4</formula>
    </cfRule>
    <cfRule type="expression" dxfId="58" priority="236" stopIfTrue="1">
      <formula>AND(L$9&gt;=$D24,L$9&lt;$D24+$I24)</formula>
    </cfRule>
    <cfRule type="expression" dxfId="57" priority="237" stopIfTrue="1">
      <formula>AND(L$9&gt;=$D24,L$9&lt;=$D24+$F24-1)</formula>
    </cfRule>
  </conditionalFormatting>
  <conditionalFormatting sqref="L25:IO25">
    <cfRule type="expression" dxfId="56" priority="232" stopIfTrue="1">
      <formula>L$9=$H$4</formula>
    </cfRule>
    <cfRule type="expression" dxfId="55" priority="233" stopIfTrue="1">
      <formula>AND(L$9&gt;=$D25,L$9&lt;$D25+$I25)</formula>
    </cfRule>
    <cfRule type="expression" dxfId="54" priority="234" stopIfTrue="1">
      <formula>AND(L$9&gt;=$D25,L$9&lt;=$D25+$F25-1)</formula>
    </cfRule>
  </conditionalFormatting>
  <conditionalFormatting sqref="L26:IO26">
    <cfRule type="expression" dxfId="53" priority="229" stopIfTrue="1">
      <formula>L$9=$H$4</formula>
    </cfRule>
    <cfRule type="expression" dxfId="52" priority="230" stopIfTrue="1">
      <formula>AND(L$9&gt;=$D26,L$9&lt;$D26+$I26)</formula>
    </cfRule>
    <cfRule type="expression" dxfId="51" priority="231" stopIfTrue="1">
      <formula>AND(L$9&gt;=$D26,L$9&lt;=$D26+$F26-1)</formula>
    </cfRule>
  </conditionalFormatting>
  <conditionalFormatting sqref="L27:IO27">
    <cfRule type="expression" dxfId="50" priority="226" stopIfTrue="1">
      <formula>L$9=$H$4</formula>
    </cfRule>
    <cfRule type="expression" dxfId="49" priority="227" stopIfTrue="1">
      <formula>AND(L$9&gt;=$D27,L$9&lt;$D27+$I27)</formula>
    </cfRule>
    <cfRule type="expression" dxfId="48" priority="228" stopIfTrue="1">
      <formula>AND(L$9&gt;=$D27,L$9&lt;=$D27+$F27-1)</formula>
    </cfRule>
  </conditionalFormatting>
  <conditionalFormatting sqref="L28:IO28">
    <cfRule type="expression" dxfId="47" priority="223" stopIfTrue="1">
      <formula>L$9=$H$4</formula>
    </cfRule>
    <cfRule type="expression" dxfId="46" priority="224" stopIfTrue="1">
      <formula>AND(L$9&gt;=$D28,L$9&lt;$D28+$I28)</formula>
    </cfRule>
    <cfRule type="expression" dxfId="45" priority="225" stopIfTrue="1">
      <formula>AND(L$9&gt;=$D28,L$9&lt;=$D28+$F28-1)</formula>
    </cfRule>
  </conditionalFormatting>
  <conditionalFormatting sqref="L30:IO30">
    <cfRule type="expression" dxfId="44" priority="220" stopIfTrue="1">
      <formula>L$9=$H$4</formula>
    </cfRule>
    <cfRule type="expression" dxfId="43" priority="221" stopIfTrue="1">
      <formula>AND(L$9&gt;=$D30,L$9&lt;$D30+$I30)</formula>
    </cfRule>
    <cfRule type="expression" dxfId="42" priority="222" stopIfTrue="1">
      <formula>AND(L$9&gt;=$D30,L$9&lt;=$D30+$F30-1)</formula>
    </cfRule>
  </conditionalFormatting>
  <conditionalFormatting sqref="L31:IO31">
    <cfRule type="expression" dxfId="41" priority="217" stopIfTrue="1">
      <formula>L$9=$H$4</formula>
    </cfRule>
    <cfRule type="expression" dxfId="40" priority="218" stopIfTrue="1">
      <formula>AND(L$9&gt;=$D31,L$9&lt;$D31+$I31)</formula>
    </cfRule>
    <cfRule type="expression" dxfId="39" priority="219" stopIfTrue="1">
      <formula>AND(L$9&gt;=$D31,L$9&lt;=$D31+$F31-1)</formula>
    </cfRule>
  </conditionalFormatting>
  <conditionalFormatting sqref="L32:IO32">
    <cfRule type="expression" dxfId="38" priority="211" stopIfTrue="1">
      <formula>L$9=$H$4</formula>
    </cfRule>
    <cfRule type="expression" dxfId="37" priority="212" stopIfTrue="1">
      <formula>AND(L$9&gt;=$D32,L$9&lt;$D32+$I32)</formula>
    </cfRule>
    <cfRule type="expression" dxfId="36" priority="213" stopIfTrue="1">
      <formula>AND(L$9&gt;=$D32,L$9&lt;=$D32+$F32-1)</formula>
    </cfRule>
  </conditionalFormatting>
  <conditionalFormatting sqref="L34:IO34">
    <cfRule type="expression" dxfId="35" priority="208" stopIfTrue="1">
      <formula>L$9=$H$4</formula>
    </cfRule>
    <cfRule type="expression" dxfId="34" priority="209" stopIfTrue="1">
      <formula>AND(L$9&gt;=$D34,L$9&lt;$D34+$I34)</formula>
    </cfRule>
    <cfRule type="expression" dxfId="33" priority="210" stopIfTrue="1">
      <formula>AND(L$9&gt;=$D34,L$9&lt;=$D34+$F34-1)</formula>
    </cfRule>
  </conditionalFormatting>
  <conditionalFormatting sqref="L35:IO35">
    <cfRule type="expression" dxfId="32" priority="205" stopIfTrue="1">
      <formula>L$9=$H$4</formula>
    </cfRule>
    <cfRule type="expression" dxfId="31" priority="206" stopIfTrue="1">
      <formula>AND(L$9&gt;=$D35,L$9&lt;$D35+$I35)</formula>
    </cfRule>
    <cfRule type="expression" dxfId="30" priority="207" stopIfTrue="1">
      <formula>AND(L$9&gt;=$D35,L$9&lt;=$D35+$F35-1)</formula>
    </cfRule>
  </conditionalFormatting>
  <conditionalFormatting sqref="L36:IO36">
    <cfRule type="expression" dxfId="29" priority="202" stopIfTrue="1">
      <formula>L$9=$H$4</formula>
    </cfRule>
    <cfRule type="expression" dxfId="28" priority="203" stopIfTrue="1">
      <formula>AND(L$9&gt;=$D36,L$9&lt;$D36+$I36)</formula>
    </cfRule>
    <cfRule type="expression" dxfId="27" priority="204" stopIfTrue="1">
      <formula>AND(L$9&gt;=$D36,L$9&lt;=$D36+$F36-1)</formula>
    </cfRule>
  </conditionalFormatting>
  <conditionalFormatting sqref="L37:IO37">
    <cfRule type="expression" dxfId="26" priority="199" stopIfTrue="1">
      <formula>L$9=$H$4</formula>
    </cfRule>
    <cfRule type="expression" dxfId="25" priority="200" stopIfTrue="1">
      <formula>AND(L$9&gt;=$D37,L$9&lt;$D37+$I37)</formula>
    </cfRule>
    <cfRule type="expression" dxfId="24" priority="201" stopIfTrue="1">
      <formula>AND(L$9&gt;=$D37,L$9&lt;=$D37+$F37-1)</formula>
    </cfRule>
  </conditionalFormatting>
  <conditionalFormatting sqref="L43:IO43">
    <cfRule type="expression" dxfId="23" priority="175" stopIfTrue="1">
      <formula>L$9=$H$4</formula>
    </cfRule>
    <cfRule type="expression" dxfId="22" priority="176" stopIfTrue="1">
      <formula>AND(L$9&gt;=$D43,L$9&lt;$D43+$I43)</formula>
    </cfRule>
    <cfRule type="expression" dxfId="21" priority="177" stopIfTrue="1">
      <formula>AND(L$9&gt;=$D43,L$9&lt;=$D43+$F43-1)</formula>
    </cfRule>
  </conditionalFormatting>
  <conditionalFormatting sqref="L38:IO38">
    <cfRule type="expression" dxfId="20" priority="193" stopIfTrue="1">
      <formula>L$9=$H$4</formula>
    </cfRule>
    <cfRule type="expression" dxfId="19" priority="194" stopIfTrue="1">
      <formula>AND(L$9&gt;=$D38,L$9&lt;$D38+$I38)</formula>
    </cfRule>
    <cfRule type="expression" dxfId="18" priority="195" stopIfTrue="1">
      <formula>AND(L$9&gt;=$D38,L$9&lt;=$D38+$F38-1)</formula>
    </cfRule>
  </conditionalFormatting>
  <conditionalFormatting sqref="L39:IO39">
    <cfRule type="expression" dxfId="17" priority="190" stopIfTrue="1">
      <formula>L$9=$H$4</formula>
    </cfRule>
    <cfRule type="expression" dxfId="16" priority="191" stopIfTrue="1">
      <formula>AND(L$9&gt;=$D39,L$9&lt;$D39+$I39)</formula>
    </cfRule>
    <cfRule type="expression" dxfId="15" priority="192" stopIfTrue="1">
      <formula>AND(L$9&gt;=$D39,L$9&lt;=$D39+$F39-1)</formula>
    </cfRule>
  </conditionalFormatting>
  <conditionalFormatting sqref="L40:IO40">
    <cfRule type="expression" dxfId="14" priority="184" stopIfTrue="1">
      <formula>L$9=$H$4</formula>
    </cfRule>
    <cfRule type="expression" dxfId="13" priority="185" stopIfTrue="1">
      <formula>AND(L$9&gt;=$D40,L$9&lt;$D40+$I40)</formula>
    </cfRule>
    <cfRule type="expression" dxfId="12" priority="186" stopIfTrue="1">
      <formula>AND(L$9&gt;=$D40,L$9&lt;=$D40+$F40-1)</formula>
    </cfRule>
  </conditionalFormatting>
  <conditionalFormatting sqref="L41:IO41">
    <cfRule type="expression" dxfId="11" priority="181" stopIfTrue="1">
      <formula>L$9=$H$4</formula>
    </cfRule>
    <cfRule type="expression" dxfId="10" priority="182" stopIfTrue="1">
      <formula>AND(L$9&gt;=$D41,L$9&lt;$D41+$I41)</formula>
    </cfRule>
    <cfRule type="expression" dxfId="9" priority="183" stopIfTrue="1">
      <formula>AND(L$9&gt;=$D41,L$9&lt;=$D41+$F41-1)</formula>
    </cfRule>
  </conditionalFormatting>
  <conditionalFormatting sqref="L42:IO42">
    <cfRule type="expression" dxfId="8" priority="178" stopIfTrue="1">
      <formula>L$9=$H$4</formula>
    </cfRule>
    <cfRule type="expression" dxfId="7" priority="179" stopIfTrue="1">
      <formula>AND(L$9&gt;=$D42,L$9&lt;$D42+$I42)</formula>
    </cfRule>
    <cfRule type="expression" dxfId="6" priority="180" stopIfTrue="1">
      <formula>AND(L$9&gt;=$D42,L$9&lt;=$D42+$F42-1)</formula>
    </cfRule>
  </conditionalFormatting>
  <conditionalFormatting sqref="L44:IO44">
    <cfRule type="expression" dxfId="5" priority="172" stopIfTrue="1">
      <formula>L$9=$H$4</formula>
    </cfRule>
    <cfRule type="expression" dxfId="4" priority="173" stopIfTrue="1">
      <formula>AND(L$9&gt;=$D44,L$9&lt;$D44+$I44)</formula>
    </cfRule>
    <cfRule type="expression" dxfId="3" priority="174" stopIfTrue="1">
      <formula>AND(L$9&gt;=$D44,L$9&lt;=$D44+$F44-1)</formula>
    </cfRule>
  </conditionalFormatting>
  <conditionalFormatting sqref="L45:IO45">
    <cfRule type="expression" dxfId="2" priority="169" stopIfTrue="1">
      <formula>L$9=$H$4</formula>
    </cfRule>
    <cfRule type="expression" dxfId="1" priority="170" stopIfTrue="1">
      <formula>AND(L$9&gt;=$D45,L$9&lt;$D45+$I45)</formula>
    </cfRule>
    <cfRule type="expression" dxfId="0" priority="171" stopIfTrue="1">
      <formula>AND(L$9&gt;=$D45,L$9&lt;=$D45+$F45-1)</formula>
    </cfRule>
  </conditionalFormatting>
  <pageMargins left="0.25" right="0.25" top="0.5" bottom="0.5" header="0.5" footer="0.25"/>
  <pageSetup scale="81" fitToHeight="0" orientation="landscape" r:id="rId1"/>
  <headerFooter alignWithMargins="0">
    <oddFooter>&amp;L&amp;8Gantt Chart Template by Vertex42.com&amp;R&amp;8© 2008 Vertex42 LLC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Scroll Bar 1">
              <controlPr defaultSize="0" print="0" autoPict="0">
                <anchor moveWithCells="1">
                  <from>
                    <xdr:col>11</xdr:col>
                    <xdr:colOff>0</xdr:colOff>
                    <xdr:row>8</xdr:row>
                    <xdr:rowOff>0</xdr:rowOff>
                  </from>
                  <to>
                    <xdr:col>23</xdr:col>
                    <xdr:colOff>114300</xdr:colOff>
                    <xdr:row>8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8"/>
  <sheetViews>
    <sheetView topLeftCell="A25" workbookViewId="0">
      <selection activeCell="B45" sqref="B45"/>
    </sheetView>
  </sheetViews>
  <sheetFormatPr defaultColWidth="9.140625" defaultRowHeight="12.75"/>
  <cols>
    <col min="1" max="1" width="32.42578125" style="3" customWidth="1"/>
    <col min="2" max="2" width="38.5703125" style="3" customWidth="1"/>
    <col min="3" max="3" width="20.140625" style="3" customWidth="1"/>
    <col min="4" max="4" width="17.5703125" style="3" customWidth="1"/>
    <col min="5" max="5" width="17.42578125" style="3" customWidth="1"/>
    <col min="6" max="16384" width="9.140625" style="3"/>
  </cols>
  <sheetData>
    <row r="2" spans="1:5" ht="15.75">
      <c r="A2" s="144" t="s">
        <v>38</v>
      </c>
      <c r="B2" s="144"/>
      <c r="C2" s="144"/>
      <c r="D2" s="144"/>
      <c r="E2" s="145"/>
    </row>
    <row r="3" spans="1:5">
      <c r="A3" s="5" t="s">
        <v>39</v>
      </c>
      <c r="B3" s="4" t="s">
        <v>40</v>
      </c>
      <c r="C3" s="5" t="s">
        <v>41</v>
      </c>
      <c r="D3" s="146" t="s">
        <v>40</v>
      </c>
      <c r="E3" s="145"/>
    </row>
    <row r="4" spans="1:5">
      <c r="A4" s="5" t="s">
        <v>42</v>
      </c>
      <c r="B4" s="17" t="s">
        <v>40</v>
      </c>
      <c r="C4" s="5" t="s">
        <v>43</v>
      </c>
      <c r="D4" s="146">
        <v>0</v>
      </c>
      <c r="E4" s="145"/>
    </row>
    <row r="5" spans="1:5">
      <c r="A5" s="5" t="s">
        <v>44</v>
      </c>
      <c r="B5" s="17" t="s">
        <v>40</v>
      </c>
      <c r="C5" s="5" t="s">
        <v>45</v>
      </c>
      <c r="D5" s="146" t="s">
        <v>40</v>
      </c>
      <c r="E5" s="145"/>
    </row>
    <row r="6" spans="1:5">
      <c r="A6" s="147"/>
      <c r="B6" s="147"/>
      <c r="C6" s="147"/>
      <c r="D6" s="147"/>
      <c r="E6"/>
    </row>
    <row r="7" spans="1:5">
      <c r="A7" s="163" t="s">
        <v>46</v>
      </c>
      <c r="B7" s="152"/>
      <c r="C7" s="152"/>
      <c r="D7" s="152"/>
      <c r="E7" s="153"/>
    </row>
    <row r="8" spans="1:5" ht="24">
      <c r="A8" s="18" t="s">
        <v>47</v>
      </c>
      <c r="B8" s="18" t="s">
        <v>48</v>
      </c>
      <c r="C8" s="18" t="s">
        <v>49</v>
      </c>
      <c r="D8" s="164" t="s">
        <v>50</v>
      </c>
      <c r="E8" s="165"/>
    </row>
    <row r="9" spans="1:5">
      <c r="A9" s="20">
        <v>0</v>
      </c>
      <c r="B9" s="21">
        <v>0</v>
      </c>
      <c r="C9" s="22">
        <v>0</v>
      </c>
      <c r="D9" s="166">
        <v>0</v>
      </c>
      <c r="E9" s="167"/>
    </row>
    <row r="10" spans="1:5" ht="24">
      <c r="A10" s="168"/>
      <c r="B10" s="18" t="s">
        <v>51</v>
      </c>
      <c r="C10" s="18" t="s">
        <v>52</v>
      </c>
      <c r="D10" s="164" t="s">
        <v>50</v>
      </c>
      <c r="E10" s="165"/>
    </row>
    <row r="11" spans="1:5">
      <c r="A11" s="169"/>
      <c r="B11" s="21">
        <v>0</v>
      </c>
      <c r="C11" s="22">
        <v>0</v>
      </c>
      <c r="D11" s="166">
        <v>0</v>
      </c>
      <c r="E11" s="167"/>
    </row>
    <row r="12" spans="1:5">
      <c r="A12" s="23" t="s">
        <v>53</v>
      </c>
      <c r="B12" s="148"/>
      <c r="C12" s="149"/>
      <c r="D12" s="149"/>
      <c r="E12" s="150"/>
    </row>
    <row r="14" spans="1:5">
      <c r="A14" s="151" t="s">
        <v>54</v>
      </c>
      <c r="B14" s="152"/>
      <c r="C14" s="152"/>
      <c r="D14" s="152"/>
      <c r="E14" s="153"/>
    </row>
    <row r="15" spans="1:5">
      <c r="A15" s="154" t="s">
        <v>55</v>
      </c>
      <c r="B15" s="147"/>
      <c r="C15" s="147"/>
      <c r="D15" s="147"/>
      <c r="E15" s="147"/>
    </row>
    <row r="16" spans="1:5">
      <c r="A16" s="24" t="s">
        <v>56</v>
      </c>
      <c r="B16" s="19" t="s">
        <v>57</v>
      </c>
      <c r="C16" s="19" t="s">
        <v>58</v>
      </c>
      <c r="D16" s="19" t="s">
        <v>59</v>
      </c>
      <c r="E16" s="160"/>
    </row>
    <row r="17" spans="1:5">
      <c r="A17" s="25" t="s">
        <v>60</v>
      </c>
      <c r="B17" s="20">
        <v>0</v>
      </c>
      <c r="C17" s="26">
        <v>0</v>
      </c>
      <c r="D17" s="20">
        <v>0</v>
      </c>
      <c r="E17" s="161"/>
    </row>
    <row r="18" spans="1:5">
      <c r="A18" s="27" t="s">
        <v>60</v>
      </c>
      <c r="B18" s="20">
        <v>0</v>
      </c>
      <c r="C18" s="26">
        <v>0</v>
      </c>
      <c r="D18" s="20">
        <v>0</v>
      </c>
      <c r="E18" s="161"/>
    </row>
    <row r="19" spans="1:5">
      <c r="A19" s="27" t="s">
        <v>60</v>
      </c>
      <c r="B19" s="20">
        <v>0</v>
      </c>
      <c r="C19" s="26">
        <v>0</v>
      </c>
      <c r="D19" s="20">
        <v>0</v>
      </c>
      <c r="E19" s="161"/>
    </row>
    <row r="20" spans="1:5">
      <c r="A20" s="27" t="s">
        <v>60</v>
      </c>
      <c r="B20" s="20">
        <v>0</v>
      </c>
      <c r="C20" s="26">
        <v>0</v>
      </c>
      <c r="D20" s="20">
        <v>0</v>
      </c>
      <c r="E20" s="161"/>
    </row>
    <row r="21" spans="1:5">
      <c r="A21" s="27" t="s">
        <v>60</v>
      </c>
      <c r="B21" s="20">
        <v>0</v>
      </c>
      <c r="C21" s="26">
        <v>0</v>
      </c>
      <c r="D21" s="20">
        <v>0</v>
      </c>
      <c r="E21" s="161"/>
    </row>
    <row r="22" spans="1:5">
      <c r="A22" s="27" t="s">
        <v>60</v>
      </c>
      <c r="B22" s="20">
        <v>0</v>
      </c>
      <c r="C22" s="26">
        <v>0</v>
      </c>
      <c r="D22" s="20">
        <v>0</v>
      </c>
      <c r="E22" s="161"/>
    </row>
    <row r="23" spans="1:5">
      <c r="A23" s="155" t="s">
        <v>61</v>
      </c>
      <c r="B23" s="156"/>
      <c r="C23" s="157"/>
      <c r="D23" s="19" t="s">
        <v>59</v>
      </c>
      <c r="E23" s="161"/>
    </row>
    <row r="24" spans="1:5">
      <c r="A24" s="158" t="s">
        <v>62</v>
      </c>
      <c r="B24" s="159"/>
      <c r="C24" s="159"/>
      <c r="D24" s="20">
        <v>0</v>
      </c>
      <c r="E24" s="161"/>
    </row>
    <row r="25" spans="1:5">
      <c r="A25" s="158" t="s">
        <v>62</v>
      </c>
      <c r="B25" s="159"/>
      <c r="C25" s="159"/>
      <c r="D25" s="20">
        <v>0</v>
      </c>
      <c r="E25" s="161"/>
    </row>
    <row r="26" spans="1:5">
      <c r="A26" s="158" t="s">
        <v>62</v>
      </c>
      <c r="B26" s="159"/>
      <c r="C26" s="159"/>
      <c r="D26" s="20">
        <v>0</v>
      </c>
      <c r="E26" s="162"/>
    </row>
    <row r="27" spans="1:5">
      <c r="A27" s="172" t="s">
        <v>63</v>
      </c>
      <c r="B27" s="156"/>
      <c r="C27" s="156"/>
      <c r="D27" s="174"/>
      <c r="E27" s="28">
        <v>0</v>
      </c>
    </row>
    <row r="28" spans="1:5">
      <c r="A28" s="175" t="s">
        <v>64</v>
      </c>
      <c r="B28" s="173"/>
      <c r="C28" s="173"/>
      <c r="D28" s="173"/>
      <c r="E28" s="29"/>
    </row>
    <row r="29" spans="1:5">
      <c r="A29" s="176" t="s">
        <v>65</v>
      </c>
      <c r="B29" s="177"/>
      <c r="C29" s="177"/>
      <c r="D29" s="19" t="s">
        <v>59</v>
      </c>
      <c r="E29" s="170"/>
    </row>
    <row r="30" spans="1:5">
      <c r="A30" s="171" t="s">
        <v>66</v>
      </c>
      <c r="B30" s="159"/>
      <c r="C30" s="159"/>
      <c r="D30" s="20">
        <v>0</v>
      </c>
      <c r="E30" s="170"/>
    </row>
    <row r="31" spans="1:5">
      <c r="A31" s="171" t="s">
        <v>66</v>
      </c>
      <c r="B31" s="159"/>
      <c r="C31" s="159"/>
      <c r="D31" s="20">
        <v>0</v>
      </c>
      <c r="E31" s="170"/>
    </row>
    <row r="32" spans="1:5">
      <c r="A32" s="171" t="s">
        <v>66</v>
      </c>
      <c r="B32" s="159"/>
      <c r="C32" s="159"/>
      <c r="D32" s="20">
        <v>0</v>
      </c>
      <c r="E32" s="170"/>
    </row>
    <row r="33" spans="1:5">
      <c r="A33" s="176" t="s">
        <v>67</v>
      </c>
      <c r="B33" s="177"/>
      <c r="C33" s="177"/>
      <c r="D33" s="19" t="s">
        <v>59</v>
      </c>
      <c r="E33" s="170"/>
    </row>
    <row r="34" spans="1:5">
      <c r="A34" s="171" t="s">
        <v>62</v>
      </c>
      <c r="B34" s="159"/>
      <c r="C34" s="159"/>
      <c r="D34" s="20">
        <v>0</v>
      </c>
      <c r="E34" s="170"/>
    </row>
    <row r="35" spans="1:5">
      <c r="A35" s="171" t="s">
        <v>62</v>
      </c>
      <c r="B35" s="159"/>
      <c r="C35" s="159"/>
      <c r="D35" s="20">
        <v>0</v>
      </c>
      <c r="E35" s="170"/>
    </row>
    <row r="36" spans="1:5">
      <c r="A36" s="171" t="s">
        <v>62</v>
      </c>
      <c r="B36" s="159"/>
      <c r="C36" s="159"/>
      <c r="D36" s="20">
        <v>0</v>
      </c>
      <c r="E36" s="170"/>
    </row>
    <row r="37" spans="1:5">
      <c r="A37" s="172" t="s">
        <v>68</v>
      </c>
      <c r="B37" s="173"/>
      <c r="C37" s="173"/>
      <c r="D37" s="174"/>
      <c r="E37" s="28">
        <v>0</v>
      </c>
    </row>
    <row r="38" spans="1:5">
      <c r="A38" s="178" t="s">
        <v>69</v>
      </c>
      <c r="B38" s="178"/>
      <c r="C38" s="178"/>
      <c r="D38" s="179"/>
      <c r="E38" s="30">
        <v>0</v>
      </c>
    </row>
  </sheetData>
  <mergeCells count="32">
    <mergeCell ref="A38:D38"/>
    <mergeCell ref="A34:C34"/>
    <mergeCell ref="A30:C30"/>
    <mergeCell ref="A31:C31"/>
    <mergeCell ref="A32:C32"/>
    <mergeCell ref="A33:C33"/>
    <mergeCell ref="E29:E36"/>
    <mergeCell ref="A35:C35"/>
    <mergeCell ref="A36:C36"/>
    <mergeCell ref="A37:D37"/>
    <mergeCell ref="A27:D27"/>
    <mergeCell ref="A28:D28"/>
    <mergeCell ref="A29:C29"/>
    <mergeCell ref="A7:E7"/>
    <mergeCell ref="D8:E8"/>
    <mergeCell ref="D9:E9"/>
    <mergeCell ref="D10:E10"/>
    <mergeCell ref="D11:E11"/>
    <mergeCell ref="A10:A11"/>
    <mergeCell ref="B12:E12"/>
    <mergeCell ref="A14:E14"/>
    <mergeCell ref="A15:E15"/>
    <mergeCell ref="A23:C23"/>
    <mergeCell ref="A24:C24"/>
    <mergeCell ref="E16:E26"/>
    <mergeCell ref="A25:C25"/>
    <mergeCell ref="A26:C26"/>
    <mergeCell ref="A2:E2"/>
    <mergeCell ref="D3:E3"/>
    <mergeCell ref="D4:E4"/>
    <mergeCell ref="D5:E5"/>
    <mergeCell ref="A6:D6"/>
  </mergeCells>
  <phoneticPr fontId="7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1"/>
  <sheetViews>
    <sheetView workbookViewId="0">
      <selection activeCell="A3" sqref="A3:C3"/>
    </sheetView>
  </sheetViews>
  <sheetFormatPr defaultColWidth="9.140625" defaultRowHeight="12.75"/>
  <cols>
    <col min="1" max="1" width="9.140625" style="3"/>
    <col min="2" max="2" width="14.85546875" style="3" customWidth="1"/>
    <col min="3" max="7" width="9.140625" style="3"/>
    <col min="8" max="8" width="14.85546875" style="3" customWidth="1"/>
    <col min="9" max="9" width="25.140625" style="3" customWidth="1"/>
    <col min="10" max="10" width="20.140625" style="3" customWidth="1"/>
    <col min="11" max="11" width="12" style="3" customWidth="1"/>
    <col min="12" max="16384" width="9.140625" style="3"/>
  </cols>
  <sheetData>
    <row r="1" spans="1:14" ht="32.25" customHeight="1">
      <c r="A1" s="144" t="s">
        <v>70</v>
      </c>
      <c r="B1" s="144"/>
      <c r="C1" s="144"/>
      <c r="D1" s="144"/>
      <c r="E1" s="182"/>
      <c r="F1" s="182"/>
      <c r="G1" s="182"/>
      <c r="H1" s="182"/>
      <c r="I1" s="182"/>
      <c r="J1" s="182"/>
      <c r="K1" s="182"/>
      <c r="L1" s="182"/>
      <c r="M1" s="182"/>
      <c r="N1" s="182"/>
    </row>
    <row r="2" spans="1:14">
      <c r="A2" s="180" t="s">
        <v>39</v>
      </c>
      <c r="B2" s="145"/>
      <c r="C2" s="145"/>
      <c r="D2" s="146" t="str">
        <f>[1]Data!B1</f>
        <v/>
      </c>
      <c r="E2" s="145"/>
      <c r="F2" s="145"/>
      <c r="G2" s="145"/>
      <c r="H2" s="145"/>
      <c r="I2" s="145"/>
      <c r="J2" s="5" t="s">
        <v>41</v>
      </c>
      <c r="K2" s="146" t="str">
        <f>[1]Data!B2</f>
        <v/>
      </c>
      <c r="L2" s="145"/>
      <c r="M2" s="145"/>
      <c r="N2" s="145"/>
    </row>
    <row r="3" spans="1:14">
      <c r="A3" s="180" t="s">
        <v>42</v>
      </c>
      <c r="B3" s="145"/>
      <c r="C3" s="145"/>
      <c r="D3" s="146" t="str">
        <f>[1]Data!B3</f>
        <v/>
      </c>
      <c r="E3" s="145"/>
      <c r="F3" s="145"/>
      <c r="G3" s="145"/>
      <c r="H3" s="145"/>
      <c r="I3" s="145"/>
      <c r="J3" s="5" t="s">
        <v>43</v>
      </c>
      <c r="K3" s="146">
        <f>[1]Data!B4</f>
        <v>0</v>
      </c>
      <c r="L3" s="145"/>
      <c r="M3" s="145"/>
      <c r="N3" s="145"/>
    </row>
    <row r="4" spans="1:14">
      <c r="A4" s="180" t="s">
        <v>44</v>
      </c>
      <c r="B4" s="145"/>
      <c r="C4" s="145"/>
      <c r="D4" s="146" t="str">
        <f>[1]Data!B5</f>
        <v/>
      </c>
      <c r="E4" s="145"/>
      <c r="F4" s="145"/>
      <c r="G4" s="145"/>
      <c r="H4" s="145"/>
      <c r="I4" s="145"/>
      <c r="J4" s="5" t="s">
        <v>45</v>
      </c>
      <c r="K4" s="146" t="str">
        <f>[1]Data!B6</f>
        <v/>
      </c>
      <c r="L4" s="145"/>
      <c r="M4" s="145"/>
      <c r="N4" s="145"/>
    </row>
    <row r="5" spans="1:14">
      <c r="A5" s="181"/>
      <c r="B5" s="145"/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</row>
    <row r="6" spans="1:14" ht="48.75">
      <c r="A6" s="11" t="s">
        <v>71</v>
      </c>
      <c r="B6" s="6" t="s">
        <v>72</v>
      </c>
      <c r="C6" s="7" t="s">
        <v>73</v>
      </c>
      <c r="D6" s="7" t="s">
        <v>74</v>
      </c>
      <c r="E6" s="7" t="s">
        <v>75</v>
      </c>
      <c r="F6" s="7" t="s">
        <v>76</v>
      </c>
      <c r="G6" s="12" t="s">
        <v>77</v>
      </c>
      <c r="H6" s="6" t="s">
        <v>78</v>
      </c>
      <c r="I6" s="6" t="s">
        <v>79</v>
      </c>
      <c r="J6" s="6" t="s">
        <v>80</v>
      </c>
      <c r="K6" s="6" t="s">
        <v>81</v>
      </c>
      <c r="L6" s="6" t="s">
        <v>82</v>
      </c>
      <c r="M6" s="6" t="s">
        <v>83</v>
      </c>
      <c r="N6" s="6" t="s">
        <v>84</v>
      </c>
    </row>
    <row r="7" spans="1:14" ht="76.5">
      <c r="A7" s="13">
        <v>1</v>
      </c>
      <c r="B7" s="14" t="s">
        <v>85</v>
      </c>
      <c r="C7" s="10">
        <v>1</v>
      </c>
      <c r="D7" s="10">
        <v>2</v>
      </c>
      <c r="E7" s="10">
        <v>3</v>
      </c>
      <c r="F7" s="15">
        <f>C7*2*(D7)*E7</f>
        <v>12</v>
      </c>
      <c r="G7" s="16"/>
      <c r="H7" s="14" t="s">
        <v>86</v>
      </c>
      <c r="I7" s="14" t="s">
        <v>87</v>
      </c>
      <c r="J7" s="14" t="s">
        <v>88</v>
      </c>
      <c r="K7" s="10" t="s">
        <v>89</v>
      </c>
      <c r="L7" s="10"/>
      <c r="M7" s="10"/>
      <c r="N7" s="13"/>
    </row>
    <row r="8" spans="1:14">
      <c r="A8" s="13">
        <v>2</v>
      </c>
      <c r="B8" s="14"/>
      <c r="C8" s="10"/>
      <c r="D8" s="10"/>
      <c r="E8" s="10"/>
      <c r="F8" s="15">
        <f>C8*2*(D8)*E8</f>
        <v>0</v>
      </c>
      <c r="G8" s="16"/>
      <c r="H8" s="14"/>
      <c r="I8" s="14"/>
      <c r="J8" s="14"/>
      <c r="K8" s="10"/>
      <c r="L8" s="10"/>
      <c r="M8" s="10"/>
      <c r="N8" s="13"/>
    </row>
    <row r="9" spans="1:14">
      <c r="A9" s="13">
        <v>3</v>
      </c>
      <c r="B9" s="14"/>
      <c r="C9" s="10"/>
      <c r="D9" s="10"/>
      <c r="E9" s="10"/>
      <c r="F9" s="15">
        <f t="shared" ref="F9:F21" si="0">C9*2*(D9)*E9</f>
        <v>0</v>
      </c>
      <c r="G9" s="16"/>
      <c r="H9" s="14"/>
      <c r="I9" s="14"/>
      <c r="J9" s="14"/>
      <c r="K9" s="10"/>
      <c r="L9" s="10"/>
      <c r="M9" s="10"/>
      <c r="N9" s="13"/>
    </row>
    <row r="10" spans="1:14">
      <c r="A10" s="13">
        <v>4</v>
      </c>
      <c r="B10" s="14"/>
      <c r="C10" s="10"/>
      <c r="D10" s="10"/>
      <c r="E10" s="10"/>
      <c r="F10" s="15">
        <f t="shared" si="0"/>
        <v>0</v>
      </c>
      <c r="G10" s="16"/>
      <c r="H10" s="14"/>
      <c r="I10" s="14"/>
      <c r="J10" s="14"/>
      <c r="K10" s="10"/>
      <c r="L10" s="10"/>
      <c r="M10" s="10"/>
      <c r="N10" s="13"/>
    </row>
    <row r="11" spans="1:14">
      <c r="A11" s="13">
        <v>5</v>
      </c>
      <c r="B11" s="14"/>
      <c r="C11" s="10"/>
      <c r="D11" s="10"/>
      <c r="E11" s="10"/>
      <c r="F11" s="15">
        <f t="shared" si="0"/>
        <v>0</v>
      </c>
      <c r="G11" s="16"/>
      <c r="H11" s="14"/>
      <c r="I11" s="14"/>
      <c r="J11" s="14"/>
      <c r="K11" s="10"/>
      <c r="L11" s="10"/>
      <c r="M11" s="10"/>
      <c r="N11" s="13"/>
    </row>
    <row r="12" spans="1:14">
      <c r="A12" s="13">
        <v>6</v>
      </c>
      <c r="B12" s="14"/>
      <c r="C12" s="10"/>
      <c r="D12" s="10"/>
      <c r="E12" s="10"/>
      <c r="F12" s="15">
        <f t="shared" si="0"/>
        <v>0</v>
      </c>
      <c r="G12" s="16"/>
      <c r="H12" s="14"/>
      <c r="I12" s="14"/>
      <c r="J12" s="14"/>
      <c r="K12" s="10"/>
      <c r="L12" s="10"/>
      <c r="M12" s="10"/>
      <c r="N12" s="13"/>
    </row>
    <row r="13" spans="1:14">
      <c r="A13" s="13">
        <v>7</v>
      </c>
      <c r="B13" s="14"/>
      <c r="C13" s="10"/>
      <c r="D13" s="10"/>
      <c r="E13" s="10"/>
      <c r="F13" s="15">
        <f t="shared" si="0"/>
        <v>0</v>
      </c>
      <c r="G13" s="16"/>
      <c r="H13" s="14"/>
      <c r="I13" s="14"/>
      <c r="J13" s="14"/>
      <c r="K13" s="10"/>
      <c r="L13" s="10"/>
      <c r="M13" s="10"/>
      <c r="N13" s="13"/>
    </row>
    <row r="14" spans="1:14">
      <c r="A14" s="13">
        <v>8</v>
      </c>
      <c r="B14" s="14"/>
      <c r="C14" s="10"/>
      <c r="D14" s="10"/>
      <c r="E14" s="10"/>
      <c r="F14" s="15">
        <f t="shared" si="0"/>
        <v>0</v>
      </c>
      <c r="G14" s="16"/>
      <c r="H14" s="14"/>
      <c r="I14" s="14"/>
      <c r="J14" s="14"/>
      <c r="K14" s="10"/>
      <c r="L14" s="10"/>
      <c r="M14" s="10"/>
      <c r="N14" s="13"/>
    </row>
    <row r="15" spans="1:14">
      <c r="A15" s="13">
        <v>9</v>
      </c>
      <c r="B15" s="14"/>
      <c r="C15" s="10"/>
      <c r="D15" s="10"/>
      <c r="E15" s="10"/>
      <c r="F15" s="15">
        <f t="shared" si="0"/>
        <v>0</v>
      </c>
      <c r="G15" s="16"/>
      <c r="H15" s="14"/>
      <c r="I15" s="14"/>
      <c r="J15" s="14"/>
      <c r="K15" s="10"/>
      <c r="L15" s="10"/>
      <c r="M15" s="10"/>
      <c r="N15" s="13"/>
    </row>
    <row r="16" spans="1:14">
      <c r="A16" s="13">
        <v>10</v>
      </c>
      <c r="B16" s="14"/>
      <c r="C16" s="10"/>
      <c r="D16" s="10"/>
      <c r="E16" s="10"/>
      <c r="F16" s="15">
        <f t="shared" si="0"/>
        <v>0</v>
      </c>
      <c r="G16" s="16"/>
      <c r="H16" s="14"/>
      <c r="I16" s="14"/>
      <c r="J16" s="14"/>
      <c r="K16" s="10"/>
      <c r="L16" s="10"/>
      <c r="M16" s="10"/>
      <c r="N16" s="13"/>
    </row>
    <row r="17" spans="1:14">
      <c r="A17" s="13">
        <v>11</v>
      </c>
      <c r="B17" s="14"/>
      <c r="C17" s="10"/>
      <c r="D17" s="10"/>
      <c r="E17" s="10"/>
      <c r="F17" s="15">
        <f t="shared" si="0"/>
        <v>0</v>
      </c>
      <c r="G17" s="16"/>
      <c r="H17" s="14"/>
      <c r="I17" s="14"/>
      <c r="J17" s="14"/>
      <c r="K17" s="10"/>
      <c r="L17" s="10"/>
      <c r="M17" s="10"/>
      <c r="N17" s="13"/>
    </row>
    <row r="18" spans="1:14">
      <c r="A18" s="13">
        <v>12</v>
      </c>
      <c r="B18" s="14"/>
      <c r="C18" s="10"/>
      <c r="D18" s="10"/>
      <c r="E18" s="10"/>
      <c r="F18" s="15">
        <f t="shared" si="0"/>
        <v>0</v>
      </c>
      <c r="G18" s="16"/>
      <c r="H18" s="14"/>
      <c r="I18" s="14"/>
      <c r="J18" s="14"/>
      <c r="K18" s="10"/>
      <c r="L18" s="10"/>
      <c r="M18" s="10"/>
      <c r="N18" s="13"/>
    </row>
    <row r="19" spans="1:14">
      <c r="A19" s="13">
        <v>13</v>
      </c>
      <c r="B19" s="14"/>
      <c r="C19" s="10"/>
      <c r="D19" s="10"/>
      <c r="E19" s="10"/>
      <c r="F19" s="15">
        <f t="shared" si="0"/>
        <v>0</v>
      </c>
      <c r="G19" s="16"/>
      <c r="H19" s="14"/>
      <c r="I19" s="14"/>
      <c r="J19" s="14"/>
      <c r="K19" s="10"/>
      <c r="L19" s="10"/>
      <c r="M19" s="10"/>
      <c r="N19" s="13"/>
    </row>
    <row r="20" spans="1:14">
      <c r="A20" s="13">
        <v>14</v>
      </c>
      <c r="B20" s="14"/>
      <c r="C20" s="10"/>
      <c r="D20" s="10"/>
      <c r="E20" s="10"/>
      <c r="F20" s="15">
        <f t="shared" si="0"/>
        <v>0</v>
      </c>
      <c r="G20" s="16"/>
      <c r="H20" s="14"/>
      <c r="I20" s="14"/>
      <c r="J20" s="14"/>
      <c r="K20" s="10"/>
      <c r="L20" s="10"/>
      <c r="M20" s="10"/>
      <c r="N20" s="13"/>
    </row>
    <row r="21" spans="1:14">
      <c r="A21" s="13">
        <v>15</v>
      </c>
      <c r="B21" s="14"/>
      <c r="C21" s="10"/>
      <c r="D21" s="10"/>
      <c r="E21" s="10"/>
      <c r="F21" s="15">
        <f t="shared" si="0"/>
        <v>0</v>
      </c>
      <c r="G21" s="16"/>
      <c r="H21" s="14"/>
      <c r="I21" s="14"/>
      <c r="J21" s="14"/>
      <c r="K21" s="10"/>
      <c r="L21" s="10"/>
      <c r="M21" s="10"/>
      <c r="N21" s="13"/>
    </row>
  </sheetData>
  <mergeCells count="11">
    <mergeCell ref="A4:C4"/>
    <mergeCell ref="D4:I4"/>
    <mergeCell ref="K4:N4"/>
    <mergeCell ref="A5:N5"/>
    <mergeCell ref="A1:N1"/>
    <mergeCell ref="A2:C2"/>
    <mergeCell ref="D2:I2"/>
    <mergeCell ref="K2:N2"/>
    <mergeCell ref="A3:C3"/>
    <mergeCell ref="D3:I3"/>
    <mergeCell ref="K3:N3"/>
  </mergeCells>
  <phoneticPr fontId="7" type="noConversion"/>
  <pageMargins left="0.69930555555555596" right="0.69930555555555596" top="0.75" bottom="0.75" header="0.3" footer="0.3"/>
  <pageSetup paperSize="9" orientation="portrait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2"/>
  <sheetViews>
    <sheetView workbookViewId="0">
      <selection activeCell="F9" sqref="F9"/>
    </sheetView>
  </sheetViews>
  <sheetFormatPr defaultColWidth="9.140625" defaultRowHeight="12.75"/>
  <cols>
    <col min="1" max="1" width="18.42578125" style="3" customWidth="1"/>
    <col min="2" max="16384" width="9.140625" style="3"/>
  </cols>
  <sheetData>
    <row r="1" spans="1:9" ht="15.75">
      <c r="A1" s="186" t="s">
        <v>90</v>
      </c>
      <c r="B1" s="144"/>
      <c r="C1" s="144"/>
      <c r="D1" s="144"/>
      <c r="E1" s="144"/>
      <c r="F1" s="144"/>
      <c r="G1" s="165"/>
      <c r="H1" s="165"/>
      <c r="I1" s="165"/>
    </row>
    <row r="2" spans="1:9">
      <c r="A2" s="183" t="s">
        <v>39</v>
      </c>
      <c r="B2" s="145"/>
      <c r="C2" s="146" t="str">
        <f>[1]Data!B1</f>
        <v/>
      </c>
      <c r="D2" s="145"/>
      <c r="E2" s="5" t="s">
        <v>41</v>
      </c>
      <c r="F2" s="146" t="str">
        <f>[1]Data!B2</f>
        <v/>
      </c>
      <c r="G2" s="145"/>
      <c r="H2" s="145"/>
      <c r="I2" s="145"/>
    </row>
    <row r="3" spans="1:9">
      <c r="A3" s="183" t="s">
        <v>42</v>
      </c>
      <c r="B3" s="145"/>
      <c r="C3" s="146" t="str">
        <f>[1]Data!B3</f>
        <v/>
      </c>
      <c r="D3" s="145"/>
      <c r="E3" s="5" t="s">
        <v>43</v>
      </c>
      <c r="F3" s="146">
        <f>[1]Data!B4</f>
        <v>0</v>
      </c>
      <c r="G3" s="145"/>
      <c r="H3" s="145"/>
      <c r="I3" s="145"/>
    </row>
    <row r="4" spans="1:9">
      <c r="A4" s="183" t="s">
        <v>44</v>
      </c>
      <c r="B4" s="145"/>
      <c r="C4" s="146" t="str">
        <f>[1]Data!B5</f>
        <v/>
      </c>
      <c r="D4" s="145"/>
      <c r="E4" s="5" t="s">
        <v>45</v>
      </c>
      <c r="F4" s="146" t="str">
        <f>[1]Data!B6</f>
        <v/>
      </c>
      <c r="G4" s="145"/>
      <c r="H4" s="145"/>
      <c r="I4" s="145"/>
    </row>
    <row r="5" spans="1:9">
      <c r="A5" s="184"/>
      <c r="B5" s="185"/>
      <c r="C5" s="185"/>
      <c r="D5" s="185"/>
      <c r="E5" s="185"/>
      <c r="F5" s="185"/>
      <c r="G5" s="145"/>
      <c r="H5" s="145"/>
      <c r="I5" s="145"/>
    </row>
    <row r="6" spans="1:9" ht="36">
      <c r="A6" s="6" t="s">
        <v>71</v>
      </c>
      <c r="B6" s="6" t="s">
        <v>91</v>
      </c>
      <c r="C6" s="6" t="s">
        <v>92</v>
      </c>
      <c r="D6" s="6" t="s">
        <v>93</v>
      </c>
      <c r="E6" s="6" t="s">
        <v>81</v>
      </c>
      <c r="F6" s="7" t="s">
        <v>76</v>
      </c>
      <c r="G6" s="6" t="s">
        <v>83</v>
      </c>
      <c r="H6" s="6" t="s">
        <v>84</v>
      </c>
      <c r="I6" s="6" t="s">
        <v>94</v>
      </c>
    </row>
    <row r="7" spans="1:9" ht="76.5">
      <c r="A7" s="8">
        <v>1</v>
      </c>
      <c r="B7" s="9" t="s">
        <v>95</v>
      </c>
      <c r="C7" s="9" t="s">
        <v>96</v>
      </c>
      <c r="D7" s="9" t="s">
        <v>97</v>
      </c>
      <c r="E7" s="10" t="s">
        <v>98</v>
      </c>
      <c r="F7" s="9"/>
      <c r="G7" s="10"/>
      <c r="H7" s="10"/>
      <c r="I7" s="10"/>
    </row>
    <row r="8" spans="1:9">
      <c r="A8" s="8">
        <v>2</v>
      </c>
      <c r="B8" s="9"/>
      <c r="C8" s="9"/>
      <c r="D8" s="9"/>
      <c r="E8" s="10"/>
      <c r="F8" s="9"/>
      <c r="G8" s="10"/>
      <c r="H8" s="10"/>
      <c r="I8" s="10"/>
    </row>
    <row r="9" spans="1:9">
      <c r="A9" s="8">
        <v>3</v>
      </c>
      <c r="B9" s="9"/>
      <c r="C9" s="9"/>
      <c r="D9" s="9"/>
      <c r="E9" s="10"/>
      <c r="F9" s="9"/>
      <c r="G9" s="10"/>
      <c r="H9" s="10"/>
      <c r="I9" s="10"/>
    </row>
    <row r="10" spans="1:9">
      <c r="A10" s="8">
        <v>4</v>
      </c>
      <c r="B10" s="9"/>
      <c r="C10" s="9"/>
      <c r="D10" s="9"/>
      <c r="E10" s="10"/>
      <c r="F10" s="9"/>
      <c r="G10" s="10"/>
      <c r="H10" s="10"/>
      <c r="I10" s="10"/>
    </row>
    <row r="11" spans="1:9">
      <c r="A11" s="8">
        <v>5</v>
      </c>
      <c r="B11" s="9"/>
      <c r="C11" s="9"/>
      <c r="D11" s="9"/>
      <c r="E11" s="10"/>
      <c r="F11" s="9"/>
      <c r="G11" s="10"/>
      <c r="H11" s="10"/>
      <c r="I11" s="10"/>
    </row>
    <row r="12" spans="1:9">
      <c r="A12" s="8">
        <v>6</v>
      </c>
      <c r="B12" s="9"/>
      <c r="C12" s="9"/>
      <c r="D12" s="9"/>
      <c r="E12" s="10"/>
      <c r="F12" s="9"/>
      <c r="G12" s="10"/>
      <c r="H12" s="10"/>
      <c r="I12" s="10"/>
    </row>
    <row r="13" spans="1:9">
      <c r="A13" s="8">
        <v>7</v>
      </c>
      <c r="B13" s="9"/>
      <c r="C13" s="9"/>
      <c r="D13" s="9"/>
      <c r="E13" s="10"/>
      <c r="F13" s="9"/>
      <c r="G13" s="10"/>
      <c r="H13" s="10"/>
      <c r="I13" s="10"/>
    </row>
    <row r="14" spans="1:9">
      <c r="A14" s="8">
        <v>8</v>
      </c>
      <c r="B14" s="9"/>
      <c r="C14" s="9"/>
      <c r="D14" s="9"/>
      <c r="E14" s="10"/>
      <c r="F14" s="9"/>
      <c r="G14" s="10"/>
      <c r="H14" s="10"/>
      <c r="I14" s="10"/>
    </row>
    <row r="15" spans="1:9">
      <c r="A15" s="8">
        <v>9</v>
      </c>
      <c r="B15" s="9"/>
      <c r="C15" s="9"/>
      <c r="D15" s="9"/>
      <c r="E15" s="10"/>
      <c r="F15" s="9"/>
      <c r="G15" s="10"/>
      <c r="H15" s="10"/>
      <c r="I15" s="10"/>
    </row>
    <row r="16" spans="1:9">
      <c r="A16" s="8">
        <v>10</v>
      </c>
      <c r="B16" s="9"/>
      <c r="C16" s="9"/>
      <c r="D16" s="9"/>
      <c r="E16" s="10"/>
      <c r="F16" s="9"/>
      <c r="G16" s="10"/>
      <c r="H16" s="10"/>
      <c r="I16" s="10"/>
    </row>
    <row r="17" spans="1:9">
      <c r="A17" s="8">
        <v>11</v>
      </c>
      <c r="B17" s="9"/>
      <c r="C17" s="9"/>
      <c r="D17" s="9"/>
      <c r="E17" s="10"/>
      <c r="F17" s="9"/>
      <c r="G17" s="10"/>
      <c r="H17" s="10"/>
      <c r="I17" s="10"/>
    </row>
    <row r="18" spans="1:9">
      <c r="A18" s="8">
        <v>12</v>
      </c>
      <c r="B18" s="9"/>
      <c r="C18" s="9"/>
      <c r="D18" s="9"/>
      <c r="E18" s="10"/>
      <c r="F18" s="9"/>
      <c r="G18" s="10"/>
      <c r="H18" s="10"/>
      <c r="I18" s="10"/>
    </row>
    <row r="19" spans="1:9">
      <c r="A19" s="8">
        <v>13</v>
      </c>
      <c r="B19" s="9"/>
      <c r="C19" s="9"/>
      <c r="D19" s="9"/>
      <c r="E19" s="10"/>
      <c r="F19" s="9"/>
      <c r="G19" s="10"/>
      <c r="H19" s="10"/>
      <c r="I19" s="10"/>
    </row>
    <row r="20" spans="1:9">
      <c r="A20" s="8">
        <v>14</v>
      </c>
      <c r="B20" s="9"/>
      <c r="C20" s="9"/>
      <c r="D20" s="9"/>
      <c r="E20" s="10"/>
      <c r="F20" s="9"/>
      <c r="G20" s="10"/>
      <c r="H20" s="10"/>
      <c r="I20" s="10"/>
    </row>
    <row r="21" spans="1:9">
      <c r="A21" s="8">
        <v>15</v>
      </c>
      <c r="B21" s="9"/>
      <c r="C21" s="9"/>
      <c r="D21" s="9"/>
      <c r="E21" s="10"/>
      <c r="F21" s="9"/>
      <c r="G21" s="10"/>
      <c r="H21" s="10"/>
      <c r="I21" s="10"/>
    </row>
    <row r="22" spans="1:9">
      <c r="A22" s="8"/>
      <c r="B22" s="9"/>
      <c r="C22" s="9"/>
      <c r="D22" s="9"/>
      <c r="E22" s="10"/>
      <c r="F22" s="9"/>
      <c r="G22" s="10"/>
      <c r="H22" s="10"/>
      <c r="I22" s="10"/>
    </row>
  </sheetData>
  <mergeCells count="11">
    <mergeCell ref="A4:B4"/>
    <mergeCell ref="C4:D4"/>
    <mergeCell ref="F4:I4"/>
    <mergeCell ref="A5:I5"/>
    <mergeCell ref="A1:I1"/>
    <mergeCell ref="A2:B2"/>
    <mergeCell ref="C2:D2"/>
    <mergeCell ref="F2:I2"/>
    <mergeCell ref="A3:B3"/>
    <mergeCell ref="C3:D3"/>
    <mergeCell ref="F3:I3"/>
  </mergeCells>
  <phoneticPr fontId="7" type="noConversion"/>
  <pageMargins left="0.69930555555555596" right="0.69930555555555596" top="0.75" bottom="0.75" header="0.3" footer="0.3"/>
  <pageSetup paperSize="9" orientation="portrait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ColWidth="9" defaultRowHeight="12.75"/>
  <sheetData>
    <row r="1" spans="1:1" ht="15">
      <c r="A1" s="1" t="s">
        <v>99</v>
      </c>
    </row>
    <row r="2" spans="1:1">
      <c r="A2" t="s">
        <v>100</v>
      </c>
    </row>
    <row r="3" spans="1:1">
      <c r="A3" s="2" t="s">
        <v>101</v>
      </c>
    </row>
  </sheetData>
  <phoneticPr fontId="7" type="noConversion"/>
  <hyperlinks>
    <hyperlink ref="A3" r:id="rId1"/>
  </hyperlinks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项目</vt:lpstr>
      <vt:lpstr>周期表</vt:lpstr>
      <vt:lpstr>预算</vt:lpstr>
      <vt:lpstr>风险登记</vt:lpstr>
      <vt:lpstr>问题日志</vt:lpstr>
      <vt:lpstr>周期表!Print_Area</vt:lpstr>
    </vt:vector>
  </TitlesOfParts>
  <Company>damytech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 Chart Template</dc:title>
  <dc:creator>RyuCholJin</dc:creator>
  <dc:description>(c) 2006-2012 Vertex42 LLC. All Rights Reserved.</dc:description>
  <cp:lastModifiedBy>RyuCholJin</cp:lastModifiedBy>
  <cp:lastPrinted>2012-04-23T20:21:00Z</cp:lastPrinted>
  <dcterms:created xsi:type="dcterms:W3CDTF">2006-11-11T15:27:00Z</dcterms:created>
  <dcterms:modified xsi:type="dcterms:W3CDTF">2015-03-10T01:37:07Z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2006-2012 Vertex42 LLC</vt:lpwstr>
  </property>
  <property fmtid="{D5CDD505-2E9C-101B-9397-08002B2CF9AE}" pid="3" name="Version">
    <vt:lpwstr>1.7.3</vt:lpwstr>
  </property>
  <property fmtid="{D5CDD505-2E9C-101B-9397-08002B2CF9AE}" pid="4" name="KSOProductBuildVer">
    <vt:lpwstr>2052-9.1.0.4885</vt:lpwstr>
  </property>
</Properties>
</file>